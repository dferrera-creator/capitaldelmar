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uestos" sheetId="1" r:id="rId5"/>
    <sheet state="visible" name="Profit &amp; Loss" sheetId="2" r:id="rId6"/>
    <sheet state="visible" name="Flujo de Efectivo" sheetId="3" r:id="rId7"/>
    <sheet state="visible" name="Unit Economics" sheetId="4" r:id="rId8"/>
    <sheet state="visible" name="Stress Test &amp; Sensibilidad" sheetId="5" r:id="rId9"/>
    <sheet state="visible" name="Valuación Contrato Bravante" sheetId="6" r:id="rId10"/>
    <sheet state="visible" name="Paso 5 Resumen Desglose de Inve" sheetId="7" r:id="rId11"/>
    <sheet state="visible" name="Paso 4 Calculo de Gastos Nomina" sheetId="8" r:id="rId12"/>
  </sheets>
  <definedNames>
    <definedName name="RampaStress">'Stress Test &amp; Sensibilidad'!$E$19</definedName>
    <definedName name="FactorADR">'Stress Test &amp; Sensibilidad'!$E$17</definedName>
    <definedName name="FactorCuota">'Stress Test &amp; Sensibilidad'!$E$24</definedName>
    <definedName name="ChurnEsc">Supuestos!$E$19</definedName>
    <definedName name="TasaISR">'Valuación Contrato Bravante'!$B$10</definedName>
    <definedName name="Tramo3">Supuestos!$B$11</definedName>
    <definedName name="RampaEsc">Supuestos!$E$17</definedName>
    <definedName name="DeltaCobranza">'Stress Test &amp; Sensibilidad'!$E$29</definedName>
    <definedName name="Tramo2">Supuestos!$B$10</definedName>
    <definedName name="AnioBase">Supuestos!$B$7</definedName>
    <definedName name="Escenario">Supuestos!$B$13</definedName>
    <definedName name="CrecimientoADR">Supuestos!$B$25</definedName>
    <definedName name="FactorCosto">'Stress Test &amp; Sensibilidad'!$E$33</definedName>
    <definedName name="PctConvenio">Supuestos!$B$2</definedName>
    <definedName name="FactorOcc">'Stress Test &amp; Sensibilidad'!$E$18</definedName>
    <definedName name="FilaVentaEsc">Supuestos!$E$15</definedName>
    <definedName name="ChurnNeto">Supuestos!$B$24</definedName>
    <definedName name="PctCapexRep">'Valuación Contrato Bravante'!$B$30</definedName>
    <definedName name="EscenarioStress">'Stress Test &amp; Sensibilidad'!$B$3</definedName>
    <definedName name="CapexStress">'Stress Test &amp; Sensibilidad'!$E$28</definedName>
    <definedName name="CACporLlave">Supuestos!$B$26</definedName>
    <definedName name="CuotaSeg2">Supuestos!$B$5</definedName>
    <definedName name="Tramo1">Supuestos!$B$9</definedName>
    <definedName name="VidaUtilDep">'Valuación Contrato Bravante'!$B$29</definedName>
    <definedName name="EV_Parametrico">'Stress Test &amp; Sensibilidad'!$B$125</definedName>
    <definedName name="FactorNomina">'Stress Test &amp; Sensibilidad'!$E$27</definedName>
    <definedName name="DiasCapTrab">'Valuación Contrato Bravante'!$B$31</definedName>
    <definedName name="LagStress">'Stress Test &amp; Sensibilidad'!$E$22</definedName>
    <definedName name="ConvenioStress">'Stress Test &amp; Sensibilidad'!$E$25</definedName>
    <definedName name="MultSalida">'Valuación Contrato Bravante'!$B$28</definedName>
    <definedName name="ModoStress">'Stress Test &amp; Sensibilidad'!$B$5</definedName>
    <definedName name="FactorLlaves">'Stress Test &amp; Sensibilidad'!$E$32</definedName>
    <definedName name="TopeLlaves">Supuestos!$B$27</definedName>
    <definedName name="InflacionStress">'Stress Test &amp; Sensibilidad'!$E$26</definedName>
    <definedName name="ChurnStress">'Stress Test &amp; Sensibilidad'!$E$20</definedName>
    <definedName name="UsoPropEsc">Supuestos!$E$18</definedName>
    <definedName name="WACCStress">'Stress Test &amp; Sensibilidad'!$E$30</definedName>
    <definedName name="WACC">'Valuación Contrato Bravante'!$B$18</definedName>
    <definedName name="RepartoStress">'Stress Test &amp; Sensibilidad'!$E$23</definedName>
    <definedName name="ChurnBruto">Supuestos!$B$21</definedName>
    <definedName name="ReposicionStress">'Stress Test &amp; Sensibilidad'!$E$21</definedName>
    <definedName name="LagReposicion">Supuestos!$B$23</definedName>
    <definedName name="InflacionAnual">Supuestos!$B$6</definedName>
    <definedName name="TasaReposicion">Supuestos!$B$22</definedName>
    <definedName name="PctReparto">Supuestos!$B$3</definedName>
    <definedName name="CrecMercadoEsc">Supuestos!$E$16</definedName>
    <definedName name="PlazoContrato">'Valuación Contrato Bravante'!$B$22</definedName>
    <definedName name="CuotaSeg1">Supuestos!$B$4</definedName>
    <definedName name="InflacionEsc">Supuestos!$E$20</definedName>
  </definedNames>
  <calcPr/>
</workbook>
</file>

<file path=xl/sharedStrings.xml><?xml version="1.0" encoding="utf-8"?>
<sst xmlns="http://schemas.openxmlformats.org/spreadsheetml/2006/main" count="776" uniqueCount="670">
  <si>
    <t>SUPUESTOS DEL MODELO — BRAVANTE</t>
  </si>
  <si>
    <t>% Convenio Limpieza &amp; Mantenimiento (s/ venta)</t>
  </si>
  <si>
    <t>% Reparto base a Propietarios (s/ venta)</t>
  </si>
  <si>
    <t>UNIT ECONOMICS</t>
  </si>
  <si>
    <t>Cuota fija por unidad — Segmento No. 1</t>
  </si>
  <si>
    <t>Cuota fija por unidad — Segmento No. 2</t>
  </si>
  <si>
    <t>Inflación anual (gastos fijos)</t>
  </si>
  <si>
    <t>Métrica</t>
  </si>
  <si>
    <t>1H</t>
  </si>
  <si>
    <t>2H</t>
  </si>
  <si>
    <t>Año 1</t>
  </si>
  <si>
    <t>Año 2</t>
  </si>
  <si>
    <t>Año 3</t>
  </si>
  <si>
    <t>Año 4</t>
  </si>
  <si>
    <t>Año 5</t>
  </si>
  <si>
    <t>Año base</t>
  </si>
  <si>
    <t>Nómina — tramo 1 (hasta 40 unidades): multiplicador</t>
  </si>
  <si>
    <t>Nómina — tramo 2 (41 a 80 unidades): multiplicador</t>
  </si>
  <si>
    <t>BLOQUE A: Unit Economics por Tipo de Llave (Anualizado)</t>
  </si>
  <si>
    <t>Nómina — tramo 3 (81+ unidades): multiplicador</t>
  </si>
  <si>
    <t>Promedio de Unidades (Llaves)</t>
  </si>
  <si>
    <t>ESCENARIOS</t>
  </si>
  <si>
    <t>(1 = Bear, 2 = Base, 3 = Bull)</t>
  </si>
  <si>
    <t>Driver</t>
  </si>
  <si>
    <t>Bear</t>
  </si>
  <si>
    <t>Base</t>
  </si>
  <si>
    <t>Bull</t>
  </si>
  <si>
    <t>Activo</t>
  </si>
  <si>
    <t>Fila de venta en archivo de mercado</t>
  </si>
  <si>
    <t>Crecimiento anual mercado (ADR)</t>
  </si>
  <si>
    <t>Meses de rampa</t>
  </si>
  <si>
    <t>Uso de propietario (% noches)</t>
  </si>
  <si>
    <t>Churn neto anual</t>
  </si>
  <si>
    <t>Churn bruto anual (salidas de propietarios)</t>
  </si>
  <si>
    <t>Tasa de reposición de llaves</t>
  </si>
  <si>
    <t>El 60% es una base provisional; el canal de reventa y refirma está confirmado como real pero la tasa aún no se ha medido.</t>
  </si>
  <si>
    <t>Lag de reposición (meses de vacancia)</t>
  </si>
  <si>
    <t>Churn neto efectivo (calculado)</t>
  </si>
  <si>
    <t>Crecimiento de ADR largo plazo</t>
  </si>
  <si>
    <t>CAC por llave repuesta</t>
  </si>
  <si>
    <t>Fechas</t>
  </si>
  <si>
    <t>Tope físico de llaves (edificio)</t>
  </si>
  <si>
    <t>Churn bruto</t>
  </si>
  <si>
    <t>Tasa de reposición</t>
  </si>
  <si>
    <t>Lag de reposición</t>
  </si>
  <si>
    <t>Ocupación % Promedio Ponderado</t>
  </si>
  <si>
    <t>STRESS TEST Y ANÁLISIS DE SENSIBILIDAD — CONTRATO BRAVANTE</t>
  </si>
  <si>
    <t>Escenario activo (1-5)</t>
  </si>
  <si>
    <t>Nombre del escenario</t>
  </si>
  <si>
    <t>MODO STRESS</t>
  </si>
  <si>
    <t>OFF</t>
  </si>
  <si>
    <t>Fecha de corrida</t>
  </si>
  <si>
    <t>Versión del modelo</t>
  </si>
  <si>
    <t>MAPA DE DEPENDENCIAS</t>
  </si>
  <si>
    <t>Entradas: Supuestos!B2:B27 · Profit &amp; Loss filas 4-6 (overlay) · Valuación!B4:B35 · Flujo de Efectivo!B5:B15 · Paso 5!D77</t>
  </si>
  <si>
    <t>Salidas: Profit &amp; Loss (venta y gastos) · Valuación!B65:B84 · Flujo de Efectivo!B76:B78</t>
  </si>
  <si>
    <t>Regla FAST: ningún input se teclea dos veces. Toda celda de esta hoja lee de Supuestos.</t>
  </si>
  <si>
    <t>BLOQUE 1: MOTOR DE SHOCKS (CAPA DE OVERLAY)</t>
  </si>
  <si>
    <t>Celda fuente</t>
  </si>
  <si>
    <t>Valor base</t>
  </si>
  <si>
    <t>Tipo</t>
  </si>
  <si>
    <t>TOTAL</t>
  </si>
  <si>
    <t>Valor aplicado</t>
  </si>
  <si>
    <t>Rango nombrado</t>
  </si>
  <si>
    <t>Nota</t>
  </si>
  <si>
    <t>PROMEDIO</t>
  </si>
  <si>
    <t>ADR</t>
  </si>
  <si>
    <t>Supuestos!B16</t>
  </si>
  <si>
    <t>Factor Stress Venta</t>
  </si>
  <si>
    <t>FactorADR</t>
  </si>
  <si>
    <t>Ocupación</t>
  </si>
  <si>
    <t>(implícita)</t>
  </si>
  <si>
    <t>FactorOcc</t>
  </si>
  <si>
    <t>Supuestos!B17</t>
  </si>
  <si>
    <t>RampaStress</t>
  </si>
  <si>
    <t>Churn bruto anual</t>
  </si>
  <si>
    <t>ChurnBruto</t>
  </si>
  <si>
    <t>ChurnStress</t>
  </si>
  <si>
    <t>TasaReposicion</t>
  </si>
  <si>
    <t>ReposicionStress</t>
  </si>
  <si>
    <t>LagReposicion</t>
  </si>
  <si>
    <t>LagStress</t>
  </si>
  <si>
    <t>% Reparto a propietarios</t>
  </si>
  <si>
    <t>Supuestos!B3</t>
  </si>
  <si>
    <t>RepartoStress</t>
  </si>
  <si>
    <t>Cuota fija por unidad</t>
  </si>
  <si>
    <t>Supuestos!B4</t>
  </si>
  <si>
    <t>FactorCuota</t>
  </si>
  <si>
    <t>% Convenio Limpieza &amp; Mant.</t>
  </si>
  <si>
    <t>Supuestos!B2</t>
  </si>
  <si>
    <t>ConvenioStress</t>
  </si>
  <si>
    <t>Inflación de gastos</t>
  </si>
  <si>
    <t>Supuestos!B6</t>
  </si>
  <si>
    <t>InflacionStress</t>
  </si>
  <si>
    <t>Tramo de nómina</t>
  </si>
  <si>
    <t>Supuestos!B9</t>
  </si>
  <si>
    <t>FactorNomina</t>
  </si>
  <si>
    <t>CapEx de reposición %</t>
  </si>
  <si>
    <t>Valuación!B30</t>
  </si>
  <si>
    <t>CapexStress</t>
  </si>
  <si>
    <t>Días de cobranza</t>
  </si>
  <si>
    <t>Flujo de Efectivo!B5</t>
  </si>
  <si>
    <t>DeltaCobranza</t>
  </si>
  <si>
    <t>WACC</t>
  </si>
  <si>
    <t>Valuación!B18</t>
  </si>
  <si>
    <t>WACCStress</t>
  </si>
  <si>
    <t>BLOQUE 0: PANEL DE CONTROL (TIMING Y SUPUESTOS)</t>
  </si>
  <si>
    <t>Factor compuesto de llaves</t>
  </si>
  <si>
    <t>FactorLlaves</t>
  </si>
  <si>
    <t>Factor de costo compuesto</t>
  </si>
  <si>
    <t>FactorCosto</t>
  </si>
  <si>
    <t>BLOQUE 2: DEFINICIÓN DE ESCENARIOS</t>
  </si>
  <si>
    <t>Unidad</t>
  </si>
  <si>
    <t>Plazo de cobranza Airbnb (días)</t>
  </si>
  <si>
    <t>Severo</t>
  </si>
  <si>
    <t>Extremo</t>
  </si>
  <si>
    <t>Factor ADR</t>
  </si>
  <si>
    <t>Bear / Bull: Heredan los drivers ya definidos en Supuestos!B14:D20.</t>
  </si>
  <si>
    <t>Factor Ocupación</t>
  </si>
  <si>
    <t>Severo: Replica la recesión de 2008-09. El RevPAR de hoteles en EE. UU. cayó 16.7% en 2009, compuesto por aproximadamente -5 puntos porcentuales de ocupación y -8% de ADR. Modelado aquí con un sesgo deliberado hacia el ADR, porque las caídas de RevPAR impulsadas por la tarifa erosionan el margen más fuerte que las caídas impulsadas por la ocupación — los costos fijos se mantienen mientras cada noche ocupada gana menos.</t>
  </si>
  <si>
    <t>Plazo de cobranza Booking.com (días)</t>
  </si>
  <si>
    <t>Extremo: Replica 2020. El RevPAR de EE. UU. cayó aproximadamente 50% en el año, tocando fondo cerca de -85% interanual en abril. Modelado en -54.5%, deliberadamente más severo que el promedio nacional porque Bravante es un solo activo urbano sin diversificación geográfica.</t>
  </si>
  <si>
    <t>Lag de reposición (meses)</t>
  </si>
  <si>
    <t>Plazo de cobranza VRBO (días)</t>
  </si>
  <si>
    <t>Factor cuota fija</t>
  </si>
  <si>
    <t>Factor nómina</t>
  </si>
  <si>
    <t>Plazo de cobranza Directo (días)</t>
  </si>
  <si>
    <t>Δ días de cobranza</t>
  </si>
  <si>
    <t>Comisión Booking.com</t>
  </si>
  <si>
    <t>Pago a 45 días</t>
  </si>
  <si>
    <t>RevPAR implícito por escenario</t>
  </si>
  <si>
    <t>Pago a Propietarios</t>
  </si>
  <si>
    <t>Corte día 5, Pago día 3 del mes siguiente</t>
  </si>
  <si>
    <t>BLOQUE 3: TABLERO DE IMPACTO</t>
  </si>
  <si>
    <t>ISR</t>
  </si>
  <si>
    <t>KPI</t>
  </si>
  <si>
    <t>Pago día 17 del mes siguiente</t>
  </si>
  <si>
    <t>Umbral</t>
  </si>
  <si>
    <t>Semáforo</t>
  </si>
  <si>
    <t>En Vivo</t>
  </si>
  <si>
    <t>Venta Total año 1</t>
  </si>
  <si>
    <t>Plazo de pago a Proveedores (días)</t>
  </si>
  <si>
    <t>Línea de Crédito Revolvente - Límite</t>
  </si>
  <si>
    <t>Línea de Crédito - Tasa Anual</t>
  </si>
  <si>
    <t>Ingreso Del Mar año 1</t>
  </si>
  <si>
    <t>Take rate efectivo</t>
  </si>
  <si>
    <t>Saldo Mínimo de Caja Deseado</t>
  </si>
  <si>
    <t>Factor Stress Costo</t>
  </si>
  <si>
    <t>EBITDA año 1</t>
  </si>
  <si>
    <t>≥ 0</t>
  </si>
  <si>
    <t>CALENDARIO DE DESEMBOLSO DE INVERSIÓN INICIAL</t>
  </si>
  <si>
    <t>% EBITDA s/ Ingreso Del Mar</t>
  </si>
  <si>
    <t>EBITDA año 5</t>
  </si>
  <si>
    <t>Mes</t>
  </si>
  <si>
    <t>t0</t>
  </si>
  <si>
    <t>M1 (Ene-25)</t>
  </si>
  <si>
    <t>M2 (Feb-25)</t>
  </si>
  <si>
    <t>M3 (Mar-25)</t>
  </si>
  <si>
    <t>EBITDA acumulado 60 meses</t>
  </si>
  <si>
    <t>% Desembolso</t>
  </si>
  <si>
    <t>FCFF normalizado</t>
  </si>
  <si>
    <t>Llaves promedio año 5</t>
  </si>
  <si>
    <t>Inversión Total</t>
  </si>
  <si>
    <t>Monto Desembolsado</t>
  </si>
  <si>
    <t>Valor del Contrato (EV)</t>
  </si>
  <si>
    <t>Mix de Canales</t>
  </si>
  <si>
    <t>≥ Inversión</t>
  </si>
  <si>
    <t>Airbnb</t>
  </si>
  <si>
    <t>EV / EBITDA implícito</t>
  </si>
  <si>
    <t>Booking.com</t>
  </si>
  <si>
    <t>Valor por llave</t>
  </si>
  <si>
    <t>TIR vs originación</t>
  </si>
  <si>
    <t>≥ WACC</t>
  </si>
  <si>
    <t>VPN @ WACC</t>
  </si>
  <si>
    <t>VRBO</t>
  </si>
  <si>
    <t>MOIC</t>
  </si>
  <si>
    <t>Déficit máximo de caja</t>
  </si>
  <si>
    <t>≥ Saldo Mínimo</t>
  </si>
  <si>
    <t>Directo</t>
  </si>
  <si>
    <t>Capital total requerido</t>
  </si>
  <si>
    <t>Meses bajo saldo mínimo</t>
  </si>
  <si>
    <t>BLOQUE 1: ENTRADAS DE EFECTIVO</t>
  </si>
  <si>
    <t>DSCR mínimo</t>
  </si>
  <si>
    <t>≥ 1.25x</t>
  </si>
  <si>
    <t>Venta Total Devengada</t>
  </si>
  <si>
    <t>Uso pico de la línea de crédito</t>
  </si>
  <si>
    <t>≤ Límite Línea</t>
  </si>
  <si>
    <t>Flotante de propietarios (pico)</t>
  </si>
  <si>
    <t>Caja Operativa Propia (mínimo)</t>
  </si>
  <si>
    <t>El umbral de Caja Operativa Propia es el más crítico y hoy no se vigila en ninguna hoja. Es la caja final menos el flotante de propietarios: si es negativa, Del Mar está financiando la operación con dinero de terceros. Con un déficit pico de $1.4M contra una línea de $500k, el faltante de ~$900k es una decisión de tesorería previa a la apertura, no un artefacto del modelo.</t>
  </si>
  <si>
    <t>Check de calibración</t>
  </si>
  <si>
    <t>CONSTANTES BASE</t>
  </si>
  <si>
    <t>Fila Venta P&amp;L</t>
  </si>
  <si>
    <t>Fila Cuotas P&amp;L</t>
  </si>
  <si>
    <t>Fila IngresoDM P&amp;L</t>
  </si>
  <si>
    <t>Factor Reposición Llaves</t>
  </si>
  <si>
    <t>Fila OpEx P&amp;L</t>
  </si>
  <si>
    <t>Tasa ISR</t>
  </si>
  <si>
    <t>Inversión Inicial CT</t>
  </si>
  <si>
    <t>AÑO</t>
  </si>
  <si>
    <t>PROYECCIÓN</t>
  </si>
  <si>
    <t>Venta</t>
  </si>
  <si>
    <t>Cuotas</t>
  </si>
  <si>
    <t>ADR Promedio Ponderado</t>
  </si>
  <si>
    <t>IngresoDM</t>
  </si>
  <si>
    <t>OpEx</t>
  </si>
  <si>
    <t>EBITDA</t>
  </si>
  <si>
    <t>CapEx</t>
  </si>
  <si>
    <t>Depreciación</t>
  </si>
  <si>
    <t>Δ Capital de Trabajo</t>
  </si>
  <si>
    <t>Cobranza Airbnb</t>
  </si>
  <si>
    <t>FCFF</t>
  </si>
  <si>
    <t>Crecimiento a perpetuidad (g)</t>
  </si>
  <si>
    <t>Valor Presente (VP)</t>
  </si>
  <si>
    <t>Venta Total (Despues de Comisiones OTAs + Pasarelas de Pago, IVA e Impuestos)</t>
  </si>
  <si>
    <t>Valor Terminal (TV)</t>
  </si>
  <si>
    <t>Enterprise Value (EV)</t>
  </si>
  <si>
    <t>Cobranza Booking.com</t>
  </si>
  <si>
    <t>({UO} | AT-AMP-02) - Analisis de Mercado [No. 1 - KIVA]</t>
  </si>
  <si>
    <t>Ingreso Anual por Llave</t>
  </si>
  <si>
    <t>Cobranza VRBO</t>
  </si>
  <si>
    <t>Property Count</t>
  </si>
  <si>
    <t>Cobranza Directo</t>
  </si>
  <si>
    <t>(-) Reparto a Propietarios por Llave</t>
  </si>
  <si>
    <t>VALUACIÓN CONTRATO BRAVANTE</t>
  </si>
  <si>
    <t>Ingreso Del Mar por Llave</t>
  </si>
  <si>
    <t>Total Entradas de Efectivo</t>
  </si>
  <si>
    <t>BLOQUE 0: PANEL DE CONTROL (SUPUESTOS)</t>
  </si>
  <si>
    <t>Tasa libre de riesgo (Bono M 10a, MXN)</t>
  </si>
  <si>
    <t>Validar contra Banxico a la fecha</t>
  </si>
  <si>
    <t>Prima de riesgo de mercado (ERP maduro)</t>
  </si>
  <si>
    <t>Damodaran — validar</t>
  </si>
  <si>
    <t>Spread de incumplimiento soberano (Default Spread)</t>
  </si>
  <si>
    <t>Damodaran default spread</t>
  </si>
  <si>
    <t>Prima de riesgo país (México)</t>
  </si>
  <si>
    <t>(-) Costo Directo por Llave (Limpieza &amp; Mantenimiento)</t>
  </si>
  <si>
    <t>Damodaran CRP México — validar</t>
  </si>
  <si>
    <t>Beta desapalancada (lodging/hospitality)</t>
  </si>
  <si>
    <t>Damodaran industry beta — validar</t>
  </si>
  <si>
    <t>Deuda / Capital objetivo (D/E)</t>
  </si>
  <si>
    <t>Del Mar opera Bravante sin deuda</t>
  </si>
  <si>
    <t>ISR corporativo México</t>
  </si>
  <si>
    <t>Beta apalancada</t>
  </si>
  <si>
    <t>Prima por tamaño e iliquidez</t>
  </si>
  <si>
    <t>Contrato único, activo pequeño, concentración total en un edificio</t>
  </si>
  <si>
    <t>Prima por riesgo de contrato</t>
  </si>
  <si>
    <t>AJUSTAR según plazo y cláusula de terminación — ver filas 19-21</t>
  </si>
  <si>
    <t>Costo de capital (Ke)</t>
  </si>
  <si>
    <t>Costo de deuda (Kd)</t>
  </si>
  <si>
    <t>TIIE + spread — validar</t>
  </si>
  <si>
    <t>Peso deuda (D/V)</t>
  </si>
  <si>
    <t>Peso capital (E/V)</t>
  </si>
  <si>
    <t>&gt;&gt;&gt; WACC</t>
  </si>
  <si>
    <t>BLOQUE 2: SALIDAS DE EFECTIVO</t>
  </si>
  <si>
    <t>WACC Anterior</t>
  </si>
  <si>
    <t>Impacto en WACC</t>
  </si>
  <si>
    <t>Plazo del contrato (años)</t>
  </si>
  <si>
    <t>Reparto a Propietarios</t>
  </si>
  <si>
    <t>Indefinido</t>
  </si>
  <si>
    <t>PENDIENTE DE VALIDAR — driver #1 del valor. Revisar contrato firmado.</t>
  </si>
  <si>
    <t>¿Renovación automática? (SI/NO)</t>
  </si>
  <si>
    <t>SI</t>
  </si>
  <si>
    <t>Ocupación % (Mercado)</t>
  </si>
  <si>
    <t>PENDIENTE DE VALIDAR</t>
  </si>
  <si>
    <t>Aviso de terminación anticipada (meses)</t>
  </si>
  <si>
    <t>Churn anual de llaves (propietarios)</t>
  </si>
  <si>
    <t>¿Equipamiento es propiedad de Del Mar?</t>
  </si>
  <si>
    <t>PENDIENTE — define valor residual transferible de 'Paso 5'!D25</t>
  </si>
  <si>
    <t>Múltiplo de salida (solo cross-check — NO usado en el DCF)</t>
  </si>
  <si>
    <t>Benchmark STR/vacation rental PM: 3x-5x para EBITDA ajustado USD 250K-1M; 1x-2x del ingreso de administración bajo USD 250K (C2G Advisors/Raincatcher). Segmento PM STR amplio 5x-9x (Parkland CP 2026).</t>
  </si>
  <si>
    <t>Vida útil depreciación equipamiento (años)</t>
  </si>
  <si>
    <t>Paso 5 sección I</t>
  </si>
  <si>
    <t>CapEx de reposición (% s/ Ingreso Del Mar)</t>
  </si>
  <si>
    <t>Reposición blancos/equipo/tech — validar</t>
  </si>
  <si>
    <t>Capital de trabajo (días de Ingreso)</t>
  </si>
  <si>
    <t>Validar contra ciclo real de cobranza</t>
  </si>
  <si>
    <t>Fecha de valuación / t=0</t>
  </si>
  <si>
    <t>Ver Bloque 6: vista A vs vista B</t>
  </si>
  <si>
    <t>Tipo de cambio MXN/USD</t>
  </si>
  <si>
    <t>Benchmark Valor por llave (Mínimo)</t>
  </si>
  <si>
    <t>Benchmark Valor por llave (Máximo)</t>
  </si>
  <si>
    <t>BLOQUE 1: NORMALIZACIÓN DE EBITDA</t>
  </si>
  <si>
    <t>EBITDA reportado (P&amp;L fila 51)</t>
  </si>
  <si>
    <t>El CAC de originación ($734K, Paso 5 D68) NO se incluye aquí porque no está en el P&amp;L operativo; se trata en el Bloque 6 como costo de originación.</t>
  </si>
  <si>
    <t>(+/-) Gastos no recurrentes de arranque</t>
  </si>
  <si>
    <t>(+/-) Normalización de compensación de dirección</t>
  </si>
  <si>
    <t>(+/-) Gastos personales o no atribuibles al contrato</t>
  </si>
  <si>
    <t>(+/-) Otros ajustes</t>
  </si>
  <si>
    <t>&gt;&gt;&gt; EBITDA AJUSTADO</t>
  </si>
  <si>
    <t>BLOQUE 2: PUENTE EBITDA AJUSTADO A FLUJO DE EFECTIVO LIBRE (FCFF)</t>
  </si>
  <si>
    <t>Ingreso Del Mar</t>
  </si>
  <si>
    <t>ADR Implícito</t>
  </si>
  <si>
    <t>La base de todo múltiplo es INGRESO DEL MAR (≈$4.27M en 2025), NUNCA VENTA TOTAL (≈$12.28M, de la cual 75% es pass-through a propietarios). Aplicar un múltiplo de ingresos sobre Venta Total infla el valor ~3x.</t>
  </si>
  <si>
    <t>EBITDA Ajustado</t>
  </si>
  <si>
    <t>(-) Depreciación</t>
  </si>
  <si>
    <t>(-) Depreciación CapEx Reposición</t>
  </si>
  <si>
    <t>EBIT</t>
  </si>
  <si>
    <t>RevPAR</t>
  </si>
  <si>
    <t>(-) ISR sobre EBIT</t>
  </si>
  <si>
    <t>NOPAT</t>
  </si>
  <si>
    <t>(+) Depreciación</t>
  </si>
  <si>
    <t>(-) CapEx de reposición</t>
  </si>
  <si>
    <t>(+) Depreciación CapEx Reposición</t>
  </si>
  <si>
    <t>(-) Δ Capital de Trabajo</t>
  </si>
  <si>
    <t>Se resta el capital de trabajo inicial ya considerado en la originación para evitar doble conteo.</t>
  </si>
  <si>
    <t>&gt;&gt;&gt; FCFF DEL CONTRATO</t>
  </si>
  <si>
    <t>({UO} | AT-AMP-02) - Analisis de Mercado [No. 2 - KIVA]</t>
  </si>
  <si>
    <t>BLOQUE 3: DESCUENTO DE FLUJOS</t>
  </si>
  <si>
    <t>Periodo (convención mid-year)</t>
  </si>
  <si>
    <t>Factor de descuento</t>
  </si>
  <si>
    <t>Valor presente del FCFF</t>
  </si>
  <si>
    <t>VP acumulado</t>
  </si>
  <si>
    <t>&gt;&gt;&gt; Σ VP de flujos explícitos (2025-2029)</t>
  </si>
  <si>
    <t>BLOQUE 4: VALOR TERMINAL</t>
  </si>
  <si>
    <t>Convenio Limpieza &amp; Mantenimiento</t>
  </si>
  <si>
    <t>Churn neto efectivo</t>
  </si>
  <si>
    <t>Crecimiento de ADR (largo plazo)</t>
  </si>
  <si>
    <t>g efectiva (perpetuidad)</t>
  </si>
  <si>
    <t>Validación g &lt; WACC</t>
  </si>
  <si>
    <t>FCFF normalizado (año 5)</t>
  </si>
  <si>
    <t>g&gt;0 no es defendible: el EBITDA cae -10.3% CAGR porque el churn erosiona las llaves de 38.8 a 30.3 mientras la inflación de 4.5% infla los gastos fijos.</t>
  </si>
  <si>
    <t>Valor Terminal (perpetuidad con decaimiento)</t>
  </si>
  <si>
    <t>Piso conservador. Es el valor correcto si el contrato es at-will o de plazo corto sin renovación — ver Bloque 0 filas 19-21.</t>
  </si>
  <si>
    <t>Factor de descuento año 5</t>
  </si>
  <si>
    <t>&gt;&gt;&gt; VP del Valor Terminal</t>
  </si>
  <si>
    <t>Cross-check: EV/EBITDA implícito</t>
  </si>
  <si>
    <t>Semáforo de comparables</t>
  </si>
  <si>
    <t>Piso de liquidación (run-off 6 meses)</t>
  </si>
  <si>
    <t>Margen de Contribución por Llave</t>
  </si>
  <si>
    <t>BLOQUE 5: VALOR DEL CONTRATO</t>
  </si>
  <si>
    <t>Σ VP de flujos explícitos</t>
  </si>
  <si>
    <t>(+) VP del Valor Terminal</t>
  </si>
  <si>
    <t>&gt;&gt;&gt; VALOR DEL CONTRATO (Enterprise Value)</t>
  </si>
  <si>
    <t>(-) Deuda neta atribuible</t>
  </si>
  <si>
    <t>&gt;&gt;&gt; VALOR PARA EL ACCIONISTA</t>
  </si>
  <si>
    <t>(-) Gastos Corporativos Prorrateados por Llave</t>
  </si>
  <si>
    <t>Llaves promedio 2025</t>
  </si>
  <si>
    <t>EV / Ingreso Del Mar 2025</t>
  </si>
  <si>
    <t>EV / EBITDA Ajustado 2025 implícito</t>
  </si>
  <si>
    <t>Valor del Contrato (USD)</t>
  </si>
  <si>
    <t>Valor por llave (USD)</t>
  </si>
  <si>
    <t>BLOQUE 6: CONTRASTE CONTRA COSTO DE ORIGINACIÓN</t>
  </si>
  <si>
    <t>VISTA A — Contrato ya originado (inversión hundida)</t>
  </si>
  <si>
    <t>Valor del Contrato (Bloque 5)</t>
  </si>
  <si>
    <t>La inversión de originación es costo hundido. Éste es el valor de venta del contrato a un tercero hoy.</t>
  </si>
  <si>
    <t>VISTA B — Valor neto de originar el contrato</t>
  </si>
  <si>
    <t>Inversión total de originación</t>
  </si>
  <si>
    <t>&gt;&gt;&gt; VALOR NETO CREADO</t>
  </si>
  <si>
    <t>&gt;&gt;&gt; Múltiplo de creación de valor</t>
  </si>
  <si>
    <t>Si el múltiplo es &lt;1.0x, originar este contrato destruye valor: cuesta más firmarlo y equiparlo de lo que vale operarlo.</t>
  </si>
  <si>
    <t>TEST DE RETORNO</t>
  </si>
  <si>
    <t>t1</t>
  </si>
  <si>
    <t>t2</t>
  </si>
  <si>
    <t>t3</t>
  </si>
  <si>
    <t>t4</t>
  </si>
  <si>
    <t>t5</t>
  </si>
  <si>
    <t>TIR</t>
  </si>
  <si>
    <t>VPN</t>
  </si>
  <si>
    <t>Ajustado a convención mid-year.</t>
  </si>
  <si>
    <t>Payback simple</t>
  </si>
  <si>
    <t>Payback descontado</t>
  </si>
  <si>
    <t>Spread TIR - WACC</t>
  </si>
  <si>
    <t>BLOQUE 7: MÚLTIPLOS DE MERCADO</t>
  </si>
  <si>
    <t>Múltiplo</t>
  </si>
  <si>
    <t>Base A (EBITDA 2025)</t>
  </si>
  <si>
    <t>Base B (EBITDA Promedio)</t>
  </si>
  <si>
    <t>Base C (Ingresos 2025)</t>
  </si>
  <si>
    <t>Fuente / Nota</t>
  </si>
  <si>
    <t>EV/EBITDA 3.0x</t>
  </si>
  <si>
    <t>3x-5x: EBITDA ajustado USD 250K-1M (C2G Advisors/Raincatcher, 2026)</t>
  </si>
  <si>
    <t>EV/EBITDA 4.0x</t>
  </si>
  <si>
    <t>EV/EBITDA 5.0x</t>
  </si>
  <si>
    <t>EV/EBITDA 7.0x</t>
  </si>
  <si>
    <t>5x-9x: segmento PM short-term rental; prima para operadores tech-enabled (Parkland CP, 2026)</t>
  </si>
  <si>
    <t>EV/EBITDA 9.0x</t>
  </si>
  <si>
    <t>6x-9x: hotel boutique independiente sobre flujo estabilizado (CT Acquisitions, 2026)</t>
  </si>
  <si>
    <t>EV/Ingresos 1.0x</t>
  </si>
  <si>
    <t>1x-2x: ingreso anual de comisión de administración, EBITDA &lt; USD 250K (C2G Advisors, 2026)</t>
  </si>
  <si>
    <t>EV/Ingresos 1.5x</t>
  </si>
  <si>
    <t>EV/Ingresos 2.0x</t>
  </si>
  <si>
    <t>EBITDA 2025 ≈ USD 114K al TC actual → como contrato aislado, Bravante cae en el tramo BAJO de los benchmarks. Múltiplos de 8x-10x solo se sostienen valuando el contrato DENTRO de la plataforma Del Mar (80+ unidades, contratos multi-edificio), no como activo standalone.</t>
  </si>
  <si>
    <t>BLOQUE 8: RANGO RECONCILIADO</t>
  </si>
  <si>
    <t>Método</t>
  </si>
  <si>
    <t>Mínimo</t>
  </si>
  <si>
    <t>Máximo</t>
  </si>
  <si>
    <t>Ponderación</t>
  </si>
  <si>
    <t>Valor Ponderado</t>
  </si>
  <si>
    <t>DCF con múltiplo de salida</t>
  </si>
  <si>
    <t>DCF run-off (sin VT)</t>
  </si>
  <si>
    <t>Múltiplo EV/EBITDA 3x-5x</t>
  </si>
  <si>
    <t>Múltiplo EV/Ingresos 1x-2x</t>
  </si>
  <si>
    <t>Valor por llave comparable</t>
  </si>
  <si>
    <t>Gastos Operativos</t>
  </si>
  <si>
    <t>VALOR RECONCILIADO</t>
  </si>
  <si>
    <t>BLOQUE 9: SENSIBILIDADES</t>
  </si>
  <si>
    <t>MODELO PARAMÉTRICO REDUCIDO (Validación)</t>
  </si>
  <si>
    <t>Este bloque utiliza una función LAMBDA para replicar la lógica del DCF y permitir matrices de sensibilidad dinámicas.</t>
  </si>
  <si>
    <t>Take Rate Base (Asumido)</t>
  </si>
  <si>
    <t>Check de calibración (EV Paramétrico vs EV Modelo)</t>
  </si>
  <si>
    <t>Reparto a Propietarios (Pass-through)</t>
  </si>
  <si>
    <t>WACC × Múltiplo de salida</t>
  </si>
  <si>
    <t>EBITDA por Llave (Full-loaded)</t>
  </si>
  <si>
    <t>Ocupación de Equilibrio (Breakeven) - Margen de Contribución</t>
  </si>
  <si>
    <t>Ocupación de Equilibrio (Breakeven) - Full-loaded</t>
  </si>
  <si>
    <t>Distribución a Propietarios por Llave</t>
  </si>
  <si>
    <t>Churn × Take Rate</t>
  </si>
  <si>
    <t>Churn bruto × Tasa de reposición → Valor del Contrato</t>
  </si>
  <si>
    <t>Ingreso Del Mar (Neto de Reparto)</t>
  </si>
  <si>
    <t>Nota: El plazo del contrato define el horizonte de proyección y el año de cálculo del valor terminal.</t>
  </si>
  <si>
    <t>Ocupación × ADR</t>
  </si>
  <si>
    <t>% Take Rate Del Mar</t>
  </si>
  <si>
    <t>Valor del Contrato</t>
  </si>
  <si>
    <t>ISR Provisional</t>
  </si>
  <si>
    <t>Costos Directos Del Mar (COGS)</t>
  </si>
  <si>
    <t>UT. Bruta</t>
  </si>
  <si>
    <t>% UT. Bruta</t>
  </si>
  <si>
    <t>Check: Ingreso por Llave * Llaves = Venta Total Segmento</t>
  </si>
  <si>
    <t>EV/EBITDA implícito</t>
  </si>
  <si>
    <t>EBITDA Ajustado año 5</t>
  </si>
  <si>
    <t>BLOQUE 10: REVISIONES Y TRAZABILIDAD</t>
  </si>
  <si>
    <t>EV = Σ VP flujos + VP VT</t>
  </si>
  <si>
    <t>EBITDA Bloque 2 = suma de 'Profit &amp; Loss' fila 51</t>
  </si>
  <si>
    <t>Check: FCFF = NOPAT + Dep − CapEx − ΔCT</t>
  </si>
  <si>
    <t>EV/EBITDA implícito dentro de 3x-9x</t>
  </si>
  <si>
    <t>Plazo de contrato validado (filas 19-21 ≠ default)</t>
  </si>
  <si>
    <t>Propiedad del equipamiento validada (fila 23)</t>
  </si>
  <si>
    <t>Sin errores en la pestaña</t>
  </si>
  <si>
    <t>Fecha de última actualización</t>
  </si>
  <si>
    <t>Supuestos pendientes de validar</t>
  </si>
  <si>
    <t>Plazo de contrato, renovación automática, propiedad de equipamiento, WACC inputs.</t>
  </si>
  <si>
    <t>BLOQUE 11: DIAGNÓSTICO: BRECHA CONTRA MÚLTIPLOS DE MERCADO</t>
  </si>
  <si>
    <t>Valor del Contrato (DCF)</t>
  </si>
  <si>
    <t>Valor Implícito a 4x EBITDA (Base B)</t>
  </si>
  <si>
    <t>Brecha (DCF vs Múltiplo)</t>
  </si>
  <si>
    <t>Conclusión</t>
  </si>
  <si>
    <t>Link A → (ONB-B-05) Corrida Financiera [Greenwood - TyA] Paso B: Desglose de Inversión</t>
  </si>
  <si>
    <t>Tipo de Habitación</t>
  </si>
  <si>
    <t>Total de Habitaciones</t>
  </si>
  <si>
    <t>Fuente de Datos</t>
  </si>
  <si>
    <t>1 Habitación (1H)</t>
  </si>
  <si>
    <t>PASO 1 Vision General Fila 6 (Recuento Propiedades 1H)</t>
  </si>
  <si>
    <t>2 Habitaciones (2H)</t>
  </si>
  <si>
    <t>PASO 1 Vision General Fila 6 (Recuento Propiedades 2H)</t>
  </si>
  <si>
    <t>3 Habitaciones (3H)</t>
  </si>
  <si>
    <t>PASO 1 Vision General Fila 6 (Recuento Propiedades 3H)</t>
  </si>
  <si>
    <t>→ TOTAL de Habitaciones EN LANZAMIENTO</t>
  </si>
  <si>
    <t>SUPUESTOS CLAVE (EDITABLE)</t>
  </si>
  <si>
    <t>Meses de Nómina Pre-Lanzamiento</t>
  </si>
  <si>
    <t>Número de meses para pagar al personal antes del primer ingreso</t>
  </si>
  <si>
    <t>% Margen de Contingencia</t>
  </si>
  <si>
    <t>Porcentaje de margen para equipos y suministros</t>
  </si>
  <si>
    <t>Tipo de Cambio (MXN/USD)</t>
  </si>
  <si>
    <t>Para conversión a USD</t>
  </si>
  <si>
    <t>I. EQUIPAMIENTO E INFRAESTRUCTURA</t>
  </si>
  <si>
    <t>Artículo</t>
  </si>
  <si>
    <t>Costo Unitario (MXN)</t>
  </si>
  <si>
    <t>Cantidad</t>
  </si>
  <si>
    <t>Total (MXN)</t>
  </si>
  <si>
    <t>Notas</t>
  </si>
  <si>
    <t>Lavadora Industrial</t>
  </si>
  <si>
    <t>Lavadora UNIMAC 27 kg LORSA</t>
  </si>
  <si>
    <t>Secadora Industrial</t>
  </si>
  <si>
    <t>SECADORA UNIMAC 34 kg LORSA</t>
  </si>
  <si>
    <t>Vehículo de Transporte de Huéspedes (Peugeot Rifter)</t>
  </si>
  <si>
    <t>Mobiliario de Recepción y Oficina</t>
  </si>
  <si>
    <t>Recepción de Huéspedes</t>
  </si>
  <si>
    <t>Mobiliario de Centro de Lavado</t>
  </si>
  <si>
    <t>Herramientas y Equipos de Mantenimiento</t>
  </si>
  <si>
    <t>Tecnología (WiFi, POS, Cámaras, Sensores)</t>
  </si>
  <si>
    <t>Equipamiento de Cocina por PAX</t>
  </si>
  <si>
    <t>Blancos y Amenidades (Stock inicial de 3 rotaciones)</t>
  </si>
  <si>
    <t>Viene con ROI</t>
  </si>
  <si>
    <t>→ Subtotal de Equipamiento</t>
  </si>
  <si>
    <t>II. PEDIDOS INICIALES Y SUMINISTROS</t>
  </si>
  <si>
    <t>Productos Químicos de Lavandería (suministro inicial de 4 semanas)</t>
  </si>
  <si>
    <t>Suministros de Limpieza e Insumos de Ama de Llaves</t>
  </si>
  <si>
    <t>Amenidades para Huéspedes (artículos de aseo, café, kits de bienvenida)</t>
  </si>
  <si>
    <t>Material de Oficina y Recepción</t>
  </si>
  <si>
    <t>Suministros de Mantenimiento y Operación</t>
  </si>
  <si>
    <t>Materiales de Marketing y Señalización de la Propiedad</t>
  </si>
  <si>
    <t>→ Subtotal de Pedidos Iniciales</t>
  </si>
  <si>
    <t>III. CAPITAL DE TRABAJO (VINCULADO DESDE PASO 4 CALCULO DE GASTOS NOMINA)</t>
  </si>
  <si>
    <t>Puesto</t>
  </si>
  <si>
    <t>Costo Mensual (Paso 4)</t>
  </si>
  <si>
    <t>Plantilla</t>
  </si>
  <si>
    <t>Total (3 meses)</t>
  </si>
  <si>
    <t>Lógica de Plantilla</t>
  </si>
  <si>
    <t>Coordinador Operativo</t>
  </si>
  <si>
    <t>BLOQUE B: CAPEX y Recuperación por Llave</t>
  </si>
  <si>
    <t>CAPEX Inicial por Llave</t>
  </si>
  <si>
    <t>Fijo: 1 por propiedad</t>
  </si>
  <si>
    <t>Ama de Llaves (Supervisor de Limpieza)</t>
  </si>
  <si>
    <t>Total Salidas de Efectivo Operativas</t>
  </si>
  <si>
    <t>1 por 5 unidades (escala)</t>
  </si>
  <si>
    <t>Camaristas (Personal de Limpieza)</t>
  </si>
  <si>
    <t>1 por 2.5 unidades (escala)</t>
  </si>
  <si>
    <t>Supervisor de Lavanderia</t>
  </si>
  <si>
    <t>Lavandería (Personal de Lavandería)</t>
  </si>
  <si>
    <t>Supervisor de Mantenimiento</t>
  </si>
  <si>
    <t>UT. Operativa</t>
  </si>
  <si>
    <t>Periodo de Recuperación Simple (Meses)</t>
  </si>
  <si>
    <t>Mantenimiento Tipo A</t>
  </si>
  <si>
    <t>1 por 10 unidades (escala)</t>
  </si>
  <si>
    <t>Mantenimiento Tipo B</t>
  </si>
  <si>
    <t>Concierge (Recepción)</t>
  </si>
  <si>
    <t>Check: CAPEX por Llave * Llaves Totales = Inversión Total</t>
  </si>
  <si>
    <t>1 por 4 unidades (escala)</t>
  </si>
  <si>
    <t>→ Subtotal de Nómina (3 meses)</t>
  </si>
  <si>
    <t>Programa de Reclutamiento y Capacitación de Personal</t>
  </si>
  <si>
    <t>Incorporación y capacitación de habilidades</t>
  </si>
  <si>
    <t>BLOQUE 3: FLUJO OPERATIVO NETO</t>
  </si>
  <si>
    <t>→ Total de Capital de Trabajo</t>
  </si>
  <si>
    <t>% UT. Operativa</t>
  </si>
  <si>
    <t>Flujo Operativo (Directo)</t>
  </si>
  <si>
    <t>IV. CONTINGENCIA Y CAPITAL DE TRABAJO</t>
  </si>
  <si>
    <t>Margen de Equipamiento (15%)</t>
  </si>
  <si>
    <t>Autocalculado de la Sección I</t>
  </si>
  <si>
    <t>Margen de Suministros (15%)</t>
  </si>
  <si>
    <t>Autocalculado de la Sección II</t>
  </si>
  <si>
    <t>Margen de Trabajo (10%)</t>
  </si>
  <si>
    <t>Autocalculado de la Sección III</t>
  </si>
  <si>
    <t>Reserva de Efectivo Operativo (30 días)</t>
  </si>
  <si>
    <t>Margen de capital de trabajo</t>
  </si>
  <si>
    <t>Servicios Profesionales (Legal, Consultoría, Licencias)</t>
  </si>
  <si>
    <t>Asesoría de inicio y permisos</t>
  </si>
  <si>
    <t>Seguros y Cumplimiento Normativo</t>
  </si>
  <si>
    <t>Cobertura de propiedad y responsabilidad</t>
  </si>
  <si>
    <t>→ Total de Contingencia y Capital de Trabajo</t>
  </si>
  <si>
    <t>V. COSTOS DE ADQUISICIÓN DE CLIENTES (CAC)</t>
  </si>
  <si>
    <t>Gastos de Marketing y Publicidad</t>
  </si>
  <si>
    <t>BLOQUE C: Resumen Ejecutivo (Año 1 vs Año 3 Estabilizado)</t>
  </si>
  <si>
    <t>1H (Año 1)</t>
  </si>
  <si>
    <t>1H (Año 3)</t>
  </si>
  <si>
    <t>2H (Año 1)</t>
  </si>
  <si>
    <t>2H (Año 3)</t>
  </si>
  <si>
    <t>Portafolio Total (Año 1)</t>
  </si>
  <si>
    <t>Portafolio Total (Año 3)</t>
  </si>
  <si>
    <t>Valor de entrada manual</t>
  </si>
  <si>
    <t>Comisiones de Ventas y Brókers</t>
  </si>
  <si>
    <t>Materiales Promocionales y RP</t>
  </si>
  <si>
    <t>A&amp;G Administración General</t>
  </si>
  <si>
    <t>Software de Generación de Leads</t>
  </si>
  <si>
    <t>Costos de Personal de Ventas</t>
  </si>
  <si>
    <t>→ Subtotal de CAC</t>
  </si>
  <si>
    <t>RESUMEN DE INVERSIÓN</t>
  </si>
  <si>
    <t>Equipamiento e Infraestructura</t>
  </si>
  <si>
    <t>Pedidos Iniciales y Suministros</t>
  </si>
  <si>
    <t>Capital de Trabajo</t>
  </si>
  <si>
    <t>Contingencia y Capital de Trabajo</t>
  </si>
  <si>
    <t>Costos de Adquisición de Clientes (CAC)</t>
  </si>
  <si>
    <t>═══&gt; INVERSIÓN TOTAL REQUERIDA (MXN)</t>
  </si>
  <si>
    <t>═══&gt; INVERSIÓN TOTAL (USD)</t>
  </si>
  <si>
    <t>% s/ Ingreso Del Mar</t>
  </si>
  <si>
    <t>% Margen EBITDA (Full-loaded)</t>
  </si>
  <si>
    <t>Ocupación de Equilibrio (Breakeven)</t>
  </si>
  <si>
    <t>Administrador</t>
  </si>
  <si>
    <t>BLOQUE D: Análisis Individual por Llave (1H vs 2H)</t>
  </si>
  <si>
    <t>Propiedades</t>
  </si>
  <si>
    <t>(-) Costo Directo por Llave</t>
  </si>
  <si>
    <t>(-) Gastos Corporativos por Llave</t>
  </si>
  <si>
    <t>Minimo</t>
  </si>
  <si>
    <t>Maximo</t>
  </si>
  <si>
    <t>Cant. Propiedades</t>
  </si>
  <si>
    <t xml:space="preserve">Puesto </t>
  </si>
  <si>
    <t>Sueldo Base</t>
  </si>
  <si>
    <t xml:space="preserve">Bono Complementario </t>
  </si>
  <si>
    <t>Bono KPIs</t>
  </si>
  <si>
    <t>Carga Social</t>
  </si>
  <si>
    <t>Costo Completo</t>
  </si>
  <si>
    <t>Enero (Ajuste por Temporalidad)</t>
  </si>
  <si>
    <t>Febrero (Ajuste por Temporalidad)</t>
  </si>
  <si>
    <t>Marzo (Ajuste por Temporalidad)</t>
  </si>
  <si>
    <t>Abril (Ajuste por Temporalidad)</t>
  </si>
  <si>
    <t>Mayo (Ajuste por Temporalidad)</t>
  </si>
  <si>
    <t>Junio (Ajuste por Temporalidad)</t>
  </si>
  <si>
    <t>Julio (Ajuste por Temporalidad)</t>
  </si>
  <si>
    <t>Agosto (Ajuste por Temporalidad)</t>
  </si>
  <si>
    <t>Septiembre (Ajuste por Temporalidad)</t>
  </si>
  <si>
    <t>Octubre (Ajuste por Temporalidad)</t>
  </si>
  <si>
    <t>Noviembre (Ajuste por Temporalidad)</t>
  </si>
  <si>
    <t>Diciembre (Ajuste por Temporalidad)</t>
  </si>
  <si>
    <t>Variación en Capital de Trabajo</t>
  </si>
  <si>
    <t>Flujo Operativo (Indirecto)</t>
  </si>
  <si>
    <t>Customer Success Manager</t>
  </si>
  <si>
    <t>Check (Directo = Indirecto)</t>
  </si>
  <si>
    <t>BLOQUE 4: FLUJO DE INVERSIÓN (CAPEX)</t>
  </si>
  <si>
    <t>Inversión Rubro 1</t>
  </si>
  <si>
    <t>Lavanderia</t>
  </si>
  <si>
    <t>Revenue Manager</t>
  </si>
  <si>
    <t>Gastos Administrativos (Varios)</t>
  </si>
  <si>
    <t>Uniformes</t>
  </si>
  <si>
    <t>Operación de Huéspedes</t>
  </si>
  <si>
    <t>Concierge</t>
  </si>
  <si>
    <t>Inversión Rubro 2</t>
  </si>
  <si>
    <t>Inversión Rubro 3</t>
  </si>
  <si>
    <t>Ventas &amp; Marketing</t>
  </si>
  <si>
    <t>CAC de Reposición de Llaves</t>
  </si>
  <si>
    <t>Inversión Rubro 4</t>
  </si>
  <si>
    <t>Honorarios</t>
  </si>
  <si>
    <t>Inversión Rubro 5</t>
  </si>
  <si>
    <t>Campañas</t>
  </si>
  <si>
    <t>CapEx de Reposición</t>
  </si>
  <si>
    <t>IT / Sistemas</t>
  </si>
  <si>
    <t>Guesty (PMS)</t>
  </si>
  <si>
    <t>Total Flujo de Inversión</t>
  </si>
  <si>
    <t>BLOQUE 5: FLUJO DE FINANCIAMIENTO</t>
  </si>
  <si>
    <t>Saldo Inicial Línea de Crédito</t>
  </si>
  <si>
    <t>Disposiciones</t>
  </si>
  <si>
    <t>Pago Intereses</t>
  </si>
  <si>
    <t>Pricelabs (RMS)</t>
  </si>
  <si>
    <t>Pago Principal</t>
  </si>
  <si>
    <t>Saldo Final Línea de Crédito</t>
  </si>
  <si>
    <t>Total Flujo de Financiamiento</t>
  </si>
  <si>
    <t>BLOQUE 6: POSICIÓN DE CAJA</t>
  </si>
  <si>
    <t>Caja Inicial</t>
  </si>
  <si>
    <t xml:space="preserve">Sentinel (RMS) </t>
  </si>
  <si>
    <t>Flujo Operativo + Inversión</t>
  </si>
  <si>
    <t>Caja antes de Financiamiento</t>
  </si>
  <si>
    <t>Flujo de Financiamiento</t>
  </si>
  <si>
    <t>Caja Final</t>
  </si>
  <si>
    <t>Webpage Hosting</t>
  </si>
  <si>
    <t>Telefono</t>
  </si>
  <si>
    <t>Saldo Mínimo Deseado</t>
  </si>
  <si>
    <t>Utilities / Servicios</t>
  </si>
  <si>
    <t>Máximo Déficit Acumulado</t>
  </si>
  <si>
    <t>Mes del Pico</t>
  </si>
  <si>
    <t>Capital Total Requerido</t>
  </si>
  <si>
    <t>BLOQUE 7: DINERO PROPIO VS TERCEROS</t>
  </si>
  <si>
    <t>Reparto Devengado (Acumulado)</t>
  </si>
  <si>
    <t>Gas LP</t>
  </si>
  <si>
    <t>% EBITDA</t>
  </si>
  <si>
    <t>Check: Venta = suma segmentos</t>
  </si>
  <si>
    <t>Check: Ingreso DM + Reparto = Venta</t>
  </si>
  <si>
    <t>Reparto Pagado (Acumulado)</t>
  </si>
  <si>
    <t>Check: Gastos Op = suma bloques</t>
  </si>
  <si>
    <t>Flotante de Propietarios (Cuentas por Pagar)</t>
  </si>
  <si>
    <t>Check: sin errores en columna</t>
  </si>
  <si>
    <t>Caja Operativa Propia</t>
  </si>
  <si>
    <t>BLOQUE 8: KPIs DE LIQUIDEZ</t>
  </si>
  <si>
    <t>DSCR (Debt Service Coverage Ratio)</t>
  </si>
  <si>
    <t>Meses de Runway</t>
  </si>
  <si>
    <t>Flujo Promedio (L3M)</t>
  </si>
  <si>
    <t>BLOQUE 9: RODANTE DE 13 SEMANAS (Aprox)</t>
  </si>
  <si>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</si>
  <si>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</si>
  <si>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</si>
  <si>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</si>
  <si>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</si>
  <si>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</si>
  <si>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</si>
  <si>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</si>
  <si>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</si>
  <si>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</si>
  <si>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</si>
  <si>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</si>
  <si>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</si>
  <si>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</si>
  <si>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Entradas</t>
  </si>
  <si>
    <t>Salidas</t>
  </si>
  <si>
    <t>Flujo Neto</t>
  </si>
  <si>
    <t>BLOQUE 10: ESTRÉS DE LIQUIDEZ</t>
  </si>
  <si>
    <t>Escenario</t>
  </si>
  <si>
    <t>-10% Cobranza</t>
  </si>
  <si>
    <t>+10% Gastos</t>
  </si>
  <si>
    <t>Ambos</t>
  </si>
  <si>
    <t>Déficit Máximo</t>
  </si>
  <si>
    <t>BLOQUE 11: REVISIONES</t>
  </si>
  <si>
    <t>Cuadre de Caja Final vs Flujos Acumulados</t>
  </si>
  <si>
    <t>Check Directo = Indirecto</t>
  </si>
  <si>
    <t>Caja Propia &gt;=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</si>
</sst>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%"/>
    <numFmt numFmtId="165" formatCode="#,##0.0"/>
    <numFmt numFmtId="166" formatCode="&quot;$&quot;#,##0.00"/>
    <numFmt numFmtId="167" formatCode="m/d/yy"/>
    <numFmt numFmtId="168" formatCode="mmm-yy"/>
    <numFmt numFmtId="169" formatCode="0.0"/>
    <numFmt numFmtId="170" formatCode="0.0&quot;x&quot;"/>
    <numFmt numFmtId="171" formatCode="0.00&quot;x&quot;"/>
    <numFmt numFmtId="172" formatCode="$#,##0"/>
    <numFmt numFmtId="173" formatCode="&quot;$&quot;#,##0"/>
    <numFmt numFmtId="174" formatCode="mm/dd/yyyy"/>
    <numFmt numFmtId="175" formatCode="&quot;$&quot;#,##0;(&quot;$&quot;#,##0)"/>
    <numFmt numFmtId="176" formatCode="0.0x"/>
    <numFmt numFmtId="177" formatCode="0.00x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color rgb="FF000000"/>
      <name val="Arial"/>
      <scheme val="minor"/>
    </font>
    <font>
      <color rgb="FF007F00"/>
      <name val="Arial"/>
      <scheme val="minor"/>
    </font>
    <font>
      <color rgb="FFFFFFFF"/>
      <name val="Arial"/>
      <scheme val="minor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color rgb="FF0000FF"/>
      <name val="Arial"/>
    </font>
    <font>
      <u/>
      <color rgb="FF0000FF"/>
      <name val="Arial"/>
    </font>
    <font>
      <i/>
      <color theme="1"/>
      <name val="Arial"/>
      <scheme val="minor"/>
    </font>
    <font>
      <b/>
      <sz val="14.0"/>
      <color rgb="FF000000"/>
      <name val="Arial"/>
      <scheme val="minor"/>
    </font>
    <font>
      <b/>
      <sz val="11.0"/>
      <color rgb="FF000000"/>
      <name val="Arial"/>
      <scheme val="minor"/>
    </font>
    <font>
      <b/>
      <color rgb="FF000000"/>
      <name val="Arial"/>
      <scheme val="minor"/>
    </font>
    <font>
      <i/>
      <color rgb="FF000000"/>
      <name val="Arial"/>
      <scheme val="minor"/>
    </font>
    <font>
      <b/>
      <color theme="1"/>
      <name val="Arial"/>
    </font>
    <font>
      <b/>
      <u/>
      <color rgb="FFFFFFFF"/>
    </font>
    <font>
      <sz val="9.0"/>
      <color rgb="FF000000"/>
      <name val="Arial"/>
    </font>
    <font>
      <b/>
      <i/>
      <color theme="1"/>
      <name val="Arial"/>
      <scheme val="minor"/>
    </font>
    <font>
      <b/>
      <color rgb="FF000000"/>
      <name val="Arial"/>
    </font>
    <font>
      <i/>
      <sz val="8.0"/>
      <color theme="1"/>
      <name val="Arial"/>
    </font>
    <font>
      <color rgb="FF000000"/>
      <name val="Arial"/>
    </font>
    <font>
      <b/>
      <i/>
      <color rgb="FF000000"/>
      <name val="Arial"/>
      <scheme val="minor"/>
    </font>
    <font>
      <b/>
      <sz val="12.0"/>
      <color rgb="FF1F4E78"/>
      <name val="Arial"/>
    </font>
    <font>
      <b/>
      <sz val="18.0"/>
      <color rgb="FFFFFFFF"/>
      <name val="Arial"/>
      <scheme val="minor"/>
    </font>
    <font>
      <b/>
      <sz val="10.0"/>
      <color rgb="FFFFFFFF"/>
      <name val="Arial"/>
      <scheme val="minor"/>
    </font>
    <font>
      <b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E3D20"/>
        <bgColor rgb="FF3E3D20"/>
      </patternFill>
    </fill>
    <fill>
      <patternFill patternType="solid">
        <fgColor rgb="FF4B5C92"/>
        <bgColor rgb="FF4B5C92"/>
      </patternFill>
    </fill>
    <fill>
      <patternFill patternType="solid">
        <fgColor rgb="FF868574"/>
        <bgColor rgb="FF868574"/>
      </patternFill>
    </fill>
    <fill>
      <patternFill patternType="solid">
        <fgColor rgb="FFDBD9D4"/>
        <bgColor rgb="FFDBD9D4"/>
      </patternFill>
    </fill>
    <fill>
      <patternFill patternType="solid">
        <fgColor rgb="FFE5E5FF"/>
        <bgColor rgb="FFE5E5FF"/>
      </patternFill>
    </fill>
    <fill>
      <patternFill patternType="solid">
        <fgColor rgb="FFE4E4FF"/>
        <bgColor rgb="FFE4E4FF"/>
      </patternFill>
    </fill>
    <fill>
      <patternFill patternType="solid">
        <fgColor rgb="FFE4E4E4"/>
        <bgColor rgb="FFE4E4E4"/>
      </patternFill>
    </fill>
    <fill>
      <patternFill patternType="solid">
        <fgColor rgb="FFE7E6E6"/>
        <bgColor rgb="FFE7E6E6"/>
      </patternFill>
    </fill>
    <fill>
      <patternFill patternType="solid">
        <fgColor rgb="FFF3F3F3"/>
        <bgColor rgb="FFF3F3F3"/>
      </patternFill>
    </fill>
  </fills>
  <borders count="6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/>
    </xf>
    <xf borderId="0" fillId="3" fontId="3" numFmtId="0" xfId="0" applyAlignment="1" applyFill="1" applyFont="1">
      <alignment horizontal="center"/>
    </xf>
    <xf borderId="0" fillId="0" fontId="1" numFmtId="164" xfId="0" applyFont="1" applyNumberFormat="1"/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4" numFmtId="0" xfId="0" applyAlignment="1" applyFill="1" applyFont="1">
      <alignment horizontal="center" vertical="center"/>
    </xf>
    <xf borderId="0" fillId="0" fontId="5" numFmtId="10" xfId="0" applyAlignment="1" applyFont="1" applyNumberFormat="1">
      <alignment readingOrder="0"/>
    </xf>
    <xf borderId="0" fillId="4" fontId="5" numFmtId="10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10" xfId="0" applyFont="1" applyNumberFormat="1"/>
    <xf borderId="0" fillId="0" fontId="7" numFmtId="165" xfId="0" applyFont="1" applyNumberFormat="1"/>
    <xf borderId="0" fillId="6" fontId="8" numFmtId="0" xfId="0" applyAlignment="1" applyFill="1" applyFont="1">
      <alignment horizontal="center" readingOrder="0" vertical="center"/>
    </xf>
    <xf borderId="0" fillId="0" fontId="7" numFmtId="166" xfId="0" applyFont="1" applyNumberFormat="1"/>
    <xf borderId="0" fillId="0" fontId="6" numFmtId="0" xfId="0" applyFont="1"/>
    <xf borderId="0" fillId="6" fontId="9" numFmtId="0" xfId="0" applyAlignment="1" applyFill="1" applyFont="1">
      <alignment horizontal="center" readingOrder="0" vertical="center"/>
    </xf>
    <xf borderId="0" fillId="6" fontId="8" numFmtId="167" xfId="0" applyAlignment="1" applyFill="1" applyFont="1" applyNumberFormat="1">
      <alignment horizontal="center" readingOrder="0" vertical="center"/>
    </xf>
    <xf borderId="0" fillId="6" fontId="10" numFmtId="1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14" xfId="0" applyFont="1" applyNumberFormat="1"/>
    <xf borderId="0" fillId="0" fontId="4" numFmtId="0" xfId="0" applyFont="1"/>
    <xf borderId="0" fillId="6" fontId="10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readingOrder="0" vertical="center"/>
    </xf>
    <xf borderId="0" fillId="6" fontId="8" numFmtId="0" xfId="0" applyAlignment="1" applyFill="1" applyFont="1">
      <alignment vertical="center"/>
    </xf>
    <xf borderId="0" fillId="6" fontId="8" numFmtId="10" xfId="0" applyAlignment="1" applyFill="1" applyFont="1" applyNumberFormat="1">
      <alignment horizontal="center" readingOrder="0" vertical="center"/>
    </xf>
    <xf borderId="0" fillId="0" fontId="4" numFmtId="168" xfId="0" applyFont="1" applyNumberFormat="1"/>
    <xf borderId="0" fillId="0" fontId="7" numFmtId="10" xfId="0" applyFont="1" applyNumberFormat="1"/>
    <xf borderId="0" fillId="0" fontId="1" numFmtId="9" xfId="0" applyFont="1" applyNumberFormat="1"/>
    <xf borderId="0" fillId="6" fontId="10" numFmtId="10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7" fontId="11" numFmtId="0" xfId="0" applyAlignment="1" applyFill="1" applyFont="1">
      <alignment horizontal="center"/>
    </xf>
    <xf borderId="0" fillId="0" fontId="1" numFmtId="9" xfId="0" applyFont="1" applyNumberFormat="1"/>
    <xf borderId="0" fillId="0" fontId="3" numFmtId="0" xfId="0" applyFont="1"/>
    <xf borderId="0" fillId="0" fontId="1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0" xfId="0" applyAlignment="1" applyFont="1" applyNumberFormat="1">
      <alignment readingOrder="0"/>
    </xf>
    <xf borderId="0" fillId="6" fontId="10" numFmtId="166" xfId="0" applyAlignment="1" applyFill="1" applyFont="1" applyNumberFormat="1">
      <alignment horizontal="center" readingOrder="0" vertical="center"/>
    </xf>
    <xf borderId="0" fillId="0" fontId="4" numFmtId="9" xfId="0" applyFont="1" applyNumberFormat="1"/>
    <xf borderId="0" fillId="0" fontId="1" numFmtId="1" xfId="0" applyAlignment="1" applyFont="1" applyNumberFormat="1">
      <alignment readingOrder="0"/>
    </xf>
    <xf borderId="0" fillId="0" fontId="4" numFmtId="3" xfId="0" applyFont="1" applyNumberFormat="1"/>
    <xf borderId="0" fillId="0" fontId="1" numFmtId="169" xfId="0" applyFont="1" applyNumberFormat="1"/>
    <xf borderId="0" fillId="0" fontId="12" numFmtId="9" xfId="0" applyAlignment="1" applyFont="1" applyNumberFormat="1">
      <alignment readingOrder="0"/>
    </xf>
    <xf borderId="0" fillId="0" fontId="1" numFmtId="170" xfId="0" applyFont="1" applyNumberFormat="1"/>
    <xf borderId="0" fillId="0" fontId="13" numFmtId="0" xfId="0" applyAlignment="1" applyFont="1">
      <alignment readingOrder="0"/>
    </xf>
    <xf borderId="0" fillId="0" fontId="12" numFmtId="9" xfId="0" applyFont="1" applyNumberFormat="1"/>
    <xf borderId="0" fillId="7" fontId="11" numFmtId="0" xfId="0" applyAlignment="1" applyFill="1" applyFont="1">
      <alignment readingOrder="0"/>
    </xf>
    <xf borderId="0" fillId="0" fontId="1" numFmtId="1" xfId="0" applyFont="1" applyNumberFormat="1"/>
    <xf borderId="0" fillId="7" fontId="11" numFmtId="0" xfId="0" applyFill="1" applyFont="1"/>
    <xf borderId="0" fillId="0" fontId="1" numFmtId="171" xfId="0" applyFont="1" applyNumberFormat="1"/>
    <xf borderId="0" fillId="0" fontId="4" numFmtId="166" xfId="0" applyFont="1" applyNumberFormat="1"/>
    <xf borderId="0" fillId="0" fontId="7" numFmtId="0" xfId="0" applyFont="1"/>
    <xf borderId="0" fillId="0" fontId="7" numFmtId="172" xfId="0" applyFont="1" applyNumberFormat="1"/>
    <xf borderId="0" fillId="0" fontId="5" numFmtId="0" xfId="0" applyAlignment="1" applyFont="1">
      <alignment readingOrder="0"/>
    </xf>
    <xf borderId="0" fillId="0" fontId="1" numFmtId="172" xfId="0" applyFont="1" applyNumberFormat="1"/>
    <xf borderId="0" fillId="6" fontId="8" numFmtId="166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8" fontId="3" numFmtId="0" xfId="0" applyAlignment="1" applyFill="1" applyFont="1">
      <alignment readingOrder="0" vertical="center"/>
    </xf>
    <xf borderId="0" fillId="8" fontId="1" numFmtId="0" xfId="0" applyAlignment="1" applyFill="1" applyFont="1">
      <alignment vertical="center"/>
    </xf>
    <xf borderId="0" fillId="8" fontId="1" numFmtId="166" xfId="0" applyAlignment="1" applyFill="1" applyFont="1" applyNumberFormat="1">
      <alignment horizontal="center" vertical="center"/>
    </xf>
    <xf borderId="0" fillId="8" fontId="3" numFmtId="166" xfId="0" applyAlignment="1" applyFill="1" applyFont="1" applyNumberFormat="1">
      <alignment horizontal="center" vertical="center"/>
    </xf>
    <xf borderId="0" fillId="0" fontId="1" numFmtId="3" xfId="0" applyAlignment="1" applyFont="1" applyNumberFormat="1">
      <alignment vertical="center"/>
    </xf>
    <xf borderId="0" fillId="0" fontId="1" numFmtId="3" xfId="0" applyAlignment="1" applyFont="1" applyNumberFormat="1">
      <alignment readingOrder="0" vertical="center"/>
    </xf>
    <xf borderId="0" fillId="9" fontId="14" numFmtId="3" xfId="0" applyAlignment="1" applyFill="1" applyFont="1" applyNumberFormat="1">
      <alignment readingOrder="0" vertical="center"/>
    </xf>
    <xf borderId="0" fillId="9" fontId="14" numFmtId="3" xfId="0" applyAlignment="1" applyFill="1" applyFont="1" applyNumberFormat="1">
      <alignment horizontal="center" vertical="center"/>
    </xf>
    <xf borderId="0" fillId="5" fontId="15" numFmtId="0" xfId="0" applyAlignment="1" applyFill="1" applyFont="1">
      <alignment readingOrder="0"/>
    </xf>
    <xf borderId="0" fillId="5" fontId="6" numFmtId="0" xfId="0" applyFill="1" applyFont="1"/>
    <xf borderId="0" fillId="5" fontId="16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11" fontId="5" numFmtId="10" xfId="0" applyFill="1" applyFont="1" applyNumberFormat="1"/>
    <xf borderId="0" fillId="10" fontId="5" numFmtId="2" xfId="0" applyAlignment="1" applyFill="1" applyFont="1" applyNumberFormat="1">
      <alignment readingOrder="0"/>
    </xf>
    <xf borderId="0" fillId="5" fontId="6" numFmtId="0" xfId="0" applyAlignment="1" applyFill="1" applyFont="1">
      <alignment readingOrder="0"/>
    </xf>
    <xf borderId="1" fillId="10" fontId="5" numFmtId="2" xfId="0" applyAlignment="1" applyBorder="1" applyFill="1" applyFont="1" applyNumberFormat="1">
      <alignment readingOrder="0"/>
    </xf>
    <xf borderId="1" fillId="5" fontId="17" numFmtId="0" xfId="0" applyAlignment="1" applyBorder="1" applyFill="1" applyFont="1">
      <alignment readingOrder="0"/>
    </xf>
    <xf borderId="0" fillId="5" fontId="6" numFmtId="172" xfId="0" applyAlignment="1" applyFill="1" applyFont="1" applyNumberFormat="1">
      <alignment readingOrder="0"/>
    </xf>
    <xf borderId="0" fillId="5" fontId="6" numFmtId="172" xfId="0" applyFill="1" applyFont="1" applyNumberFormat="1"/>
    <xf borderId="0" fillId="10" fontId="5" numFmtId="10" xfId="0" applyAlignment="1" applyFill="1" applyFont="1" applyNumberFormat="1">
      <alignment readingOrder="0"/>
    </xf>
    <xf borderId="2" fillId="10" fontId="5" numFmtId="0" xfId="0" applyAlignment="1" applyBorder="1" applyFill="1" applyFont="1">
      <alignment readingOrder="0"/>
    </xf>
    <xf borderId="2" fillId="5" fontId="17" numFmtId="172" xfId="0" applyAlignment="1" applyBorder="1" applyFill="1" applyFont="1" applyNumberFormat="1">
      <alignment readingOrder="0"/>
    </xf>
    <xf borderId="2" fillId="5" fontId="17" numFmtId="172" xfId="0" applyBorder="1" applyFill="1" applyFont="1" applyNumberFormat="1"/>
    <xf borderId="0" fillId="10" fontId="5" numFmtId="164" xfId="0" applyAlignment="1" applyFill="1" applyFont="1" applyNumberFormat="1">
      <alignment readingOrder="0"/>
    </xf>
    <xf borderId="3" fillId="5" fontId="17" numFmtId="164" xfId="0" applyAlignment="1" applyBorder="1" applyFill="1" applyFont="1" applyNumberFormat="1">
      <alignment readingOrder="0"/>
    </xf>
    <xf borderId="3" fillId="5" fontId="17" numFmtId="172" xfId="0" applyBorder="1" applyFill="1" applyFont="1" applyNumberFormat="1"/>
    <xf borderId="0" fillId="9" fontId="6" numFmtId="4" xfId="0" applyAlignment="1" applyFill="1" applyFont="1" applyNumberFormat="1">
      <alignment horizontal="center" vertical="center"/>
    </xf>
    <xf borderId="0" fillId="5" fontId="6" numFmtId="2" xfId="0" applyAlignment="1" applyFill="1" applyFont="1" applyNumberFormat="1">
      <alignment readingOrder="0"/>
    </xf>
    <xf borderId="0" fillId="5" fontId="6" numFmtId="2" xfId="0" applyFill="1" applyFont="1" applyNumberFormat="1"/>
    <xf borderId="0" fillId="4" fontId="5" numFmtId="164" xfId="0" applyFill="1" applyFont="1" applyNumberFormat="1"/>
    <xf borderId="0" fillId="5" fontId="6" numFmtId="173" xfId="0" applyFill="1" applyFont="1" applyNumberFormat="1"/>
    <xf borderId="0" fillId="9" fontId="1" numFmtId="10" xfId="0" applyAlignment="1" applyFill="1" applyFont="1" applyNumberFormat="1">
      <alignment horizontal="center" vertical="center"/>
    </xf>
    <xf borderId="2" fillId="4" fontId="5" numFmtId="0" xfId="0" applyAlignment="1" applyBorder="1" applyFill="1" applyFont="1">
      <alignment readingOrder="0"/>
    </xf>
    <xf borderId="2" fillId="5" fontId="17" numFmtId="173" xfId="0" applyBorder="1" applyFill="1" applyFont="1" applyNumberFormat="1"/>
    <xf borderId="0" fillId="10" fontId="5" numFmtId="170" xfId="0" applyAlignment="1" applyFill="1" applyFont="1" applyNumberFormat="1">
      <alignment readingOrder="0"/>
    </xf>
    <xf borderId="3" fillId="10" fontId="5" numFmtId="0" xfId="0" applyAlignment="1" applyBorder="1" applyFill="1" applyFont="1">
      <alignment readingOrder="0"/>
    </xf>
    <xf borderId="3" fillId="5" fontId="17" numFmtId="172" xfId="0" applyAlignment="1" applyBorder="1" applyFill="1" applyFont="1" applyNumberFormat="1">
      <alignment readingOrder="0"/>
    </xf>
    <xf borderId="3" fillId="5" fontId="17" numFmtId="173" xfId="0" applyBorder="1" applyFill="1" applyFont="1" applyNumberFormat="1"/>
    <xf borderId="0" fillId="9" fontId="6" numFmtId="10" xfId="0" applyAlignment="1" applyFill="1" applyFont="1" applyNumberFormat="1">
      <alignment horizontal="center" vertical="center"/>
    </xf>
    <xf borderId="0" fillId="10" fontId="5" numFmtId="174" xfId="0" applyAlignment="1" applyFill="1" applyFont="1" applyNumberFormat="1">
      <alignment readingOrder="0"/>
    </xf>
    <xf borderId="0" fillId="11" fontId="5" numFmtId="172" xfId="0" applyFill="1" applyFont="1" applyNumberFormat="1"/>
    <xf borderId="0" fillId="0" fontId="1" numFmtId="175" xfId="0" applyFont="1" applyNumberFormat="1"/>
    <xf borderId="0" fillId="0" fontId="1" numFmtId="175" xfId="0" applyAlignment="1" applyFont="1" applyNumberFormat="1">
      <alignment readingOrder="0"/>
    </xf>
    <xf borderId="0" fillId="9" fontId="1" numFmtId="166" xfId="0" applyAlignment="1" applyFill="1" applyFont="1" applyNumberFormat="1">
      <alignment horizontal="center" vertical="center"/>
    </xf>
    <xf borderId="0" fillId="9" fontId="1" numFmtId="3" xfId="0" applyAlignment="1" applyFill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0" fillId="9" fontId="18" numFmtId="0" xfId="0" applyAlignment="1" applyFill="1" applyFont="1">
      <alignment readingOrder="0" vertical="center"/>
    </xf>
    <xf borderId="0" fillId="0" fontId="1" numFmtId="176" xfId="0" applyFont="1" applyNumberFormat="1"/>
    <xf borderId="0" fillId="0" fontId="1" numFmtId="166" xfId="0" applyFont="1" applyNumberFormat="1"/>
    <xf borderId="0" fillId="11" fontId="5" numFmtId="164" xfId="0" applyFill="1" applyFont="1" applyNumberFormat="1"/>
    <xf borderId="0" fillId="0" fontId="1" numFmtId="9" xfId="0" applyAlignment="1" applyFont="1" applyNumberFormat="1">
      <alignment readingOrder="0"/>
    </xf>
    <xf borderId="0" fillId="6" fontId="1" numFmtId="0" xfId="0" applyAlignment="1" applyFill="1" applyFont="1">
      <alignment vertical="center"/>
    </xf>
    <xf borderId="0" fillId="6" fontId="8" numFmtId="166" xfId="0" applyAlignment="1" applyFill="1" applyFont="1" applyNumberFormat="1">
      <alignment horizontal="center" vertical="center"/>
    </xf>
    <xf borderId="0" fillId="6" fontId="8" numFmtId="10" xfId="0" applyAlignment="1" applyFill="1" applyFont="1" applyNumberFormat="1">
      <alignment horizontal="center" vertical="center"/>
    </xf>
    <xf borderId="0" fillId="6" fontId="1" numFmtId="0" xfId="0" applyAlignment="1" applyFill="1" applyFont="1">
      <alignment readingOrder="0" vertical="center"/>
    </xf>
    <xf borderId="0" fillId="8" fontId="19" numFmtId="0" xfId="0" applyAlignment="1" applyFill="1" applyFont="1">
      <alignment readingOrder="0" vertical="center"/>
    </xf>
    <xf borderId="0" fillId="8" fontId="4" numFmtId="0" xfId="0" applyAlignment="1" applyFill="1" applyFont="1">
      <alignment vertical="center"/>
    </xf>
    <xf borderId="0" fillId="8" fontId="4" numFmtId="166" xfId="0" applyAlignment="1" applyFill="1" applyFont="1" applyNumberFormat="1">
      <alignment horizontal="center" vertical="center"/>
    </xf>
    <xf borderId="0" fillId="6" fontId="20" numFmtId="0" xfId="0" applyAlignment="1" applyFill="1" applyFont="1">
      <alignment horizontal="center" readingOrder="0" vertical="center"/>
    </xf>
    <xf borderId="0" fillId="6" fontId="10" numFmtId="0" xfId="0" applyAlignment="1" applyFill="1" applyFont="1">
      <alignment readingOrder="0" vertical="center"/>
    </xf>
    <xf borderId="0" fillId="6" fontId="8" numFmtId="166" xfId="0" applyAlignment="1" applyFill="1" applyFont="1" applyNumberFormat="1">
      <alignment horizontal="left" readingOrder="0" vertical="center"/>
    </xf>
    <xf borderId="4" fillId="0" fontId="4" numFmtId="0" xfId="0" applyAlignment="1" applyBorder="1" applyFont="1">
      <alignment readingOrder="0" vertical="bottom"/>
    </xf>
    <xf borderId="4" fillId="0" fontId="21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readingOrder="0" vertical="center"/>
    </xf>
    <xf borderId="0" fillId="9" fontId="22" numFmtId="3" xfId="0" applyAlignment="1" applyFill="1" applyFont="1" applyNumberFormat="1">
      <alignment readingOrder="0" vertical="center"/>
    </xf>
    <xf borderId="0" fillId="9" fontId="22" numFmtId="3" xfId="0" applyAlignment="1" applyFill="1" applyFont="1" applyNumberFormat="1">
      <alignment horizontal="center" readingOrder="0" vertical="center"/>
    </xf>
    <xf borderId="0" fillId="9" fontId="22" numFmtId="3" xfId="0" applyAlignment="1" applyFill="1" applyFont="1" applyNumberFormat="1">
      <alignment horizontal="left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6" fontId="8" numFmtId="0" xfId="0" applyAlignment="1" applyFill="1" applyFont="1">
      <alignment horizontal="center" vertical="center"/>
    </xf>
    <xf borderId="4" fillId="0" fontId="23" numFmtId="1" xfId="0" applyAlignment="1" applyBorder="1" applyFont="1" applyNumberFormat="1">
      <alignment horizontal="center" vertical="center"/>
    </xf>
    <xf borderId="4" fillId="0" fontId="23" numFmtId="164" xfId="0" applyAlignment="1" applyBorder="1" applyFont="1" applyNumberFormat="1">
      <alignment horizontal="center" vertical="center"/>
    </xf>
    <xf borderId="4" fillId="0" fontId="23" numFmtId="2" xfId="0" applyAlignment="1" applyBorder="1" applyFont="1" applyNumberForma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left" readingOrder="0" vertical="center"/>
    </xf>
    <xf borderId="4" fillId="0" fontId="4" numFmtId="44" xfId="0" applyAlignment="1" applyBorder="1" applyFont="1" applyNumberFormat="1">
      <alignment horizontal="center" vertical="center"/>
    </xf>
    <xf borderId="4" fillId="0" fontId="23" numFmtId="1" xfId="0" applyAlignment="1" applyBorder="1" applyFont="1" applyNumberFormat="1">
      <alignment horizontal="center" readingOrder="0" vertical="center"/>
    </xf>
    <xf borderId="4" fillId="0" fontId="24" numFmtId="0" xfId="0" applyAlignment="1" applyBorder="1" applyFont="1">
      <alignment horizontal="left" readingOrder="0" vertical="center"/>
    </xf>
    <xf borderId="4" fillId="0" fontId="4" numFmtId="44" xfId="0" applyAlignment="1" applyBorder="1" applyFont="1" applyNumberFormat="1">
      <alignment horizontal="center" readingOrder="0" vertical="center"/>
    </xf>
    <xf borderId="4" fillId="0" fontId="25" numFmtId="1" xfId="0" applyAlignment="1" applyBorder="1" applyFont="1" applyNumberFormat="1">
      <alignment horizontal="center" readingOrder="0" vertical="center"/>
    </xf>
    <xf borderId="4" fillId="0" fontId="25" numFmtId="1" xfId="0" applyAlignment="1" applyBorder="1" applyFont="1" applyNumberFormat="1">
      <alignment horizontal="center" vertical="center"/>
    </xf>
    <xf borderId="0" fillId="9" fontId="22" numFmtId="166" xfId="0" applyAlignment="1" applyFill="1" applyFont="1" applyNumberFormat="1">
      <alignment horizontal="center" readingOrder="0" vertical="center"/>
    </xf>
    <xf borderId="4" fillId="0" fontId="4" numFmtId="0" xfId="0" applyAlignment="1" applyBorder="1" applyFont="1">
      <alignment vertical="bottom"/>
    </xf>
    <xf borderId="4" fillId="0" fontId="21" numFmtId="44" xfId="0" applyAlignment="1" applyBorder="1" applyFont="1" applyNumberFormat="1">
      <alignment horizontal="center" vertical="center"/>
    </xf>
    <xf borderId="0" fillId="0" fontId="1" numFmtId="165" xfId="0" applyFont="1" applyNumberFormat="1"/>
    <xf borderId="0" fillId="9" fontId="26" numFmtId="3" xfId="0" applyAlignment="1" applyFill="1" applyFont="1" applyNumberFormat="1">
      <alignment horizontal="center" readingOrder="0" vertical="center"/>
    </xf>
    <xf borderId="0" fillId="9" fontId="18" numFmtId="3" xfId="0" applyAlignment="1" applyFill="1" applyFont="1" applyNumberFormat="1">
      <alignment horizontal="center" readingOrder="0" vertical="center"/>
    </xf>
    <xf borderId="4" fillId="0" fontId="23" numFmtId="44" xfId="0" applyAlignment="1" applyBorder="1" applyFont="1" applyNumberFormat="1">
      <alignment horizontal="center" vertical="center"/>
    </xf>
    <xf borderId="4" fillId="0" fontId="25" numFmtId="0" xfId="0" applyAlignment="1" applyBorder="1" applyFont="1">
      <alignment horizontal="center" vertical="center"/>
    </xf>
    <xf borderId="4" fillId="0" fontId="25" numFmtId="44" xfId="0" applyAlignment="1" applyBorder="1" applyFont="1" applyNumberFormat="1">
      <alignment horizontal="center" vertical="center"/>
    </xf>
    <xf borderId="0" fillId="12" fontId="3" numFmtId="0" xfId="0" applyAlignment="1" applyFill="1" applyFont="1">
      <alignment horizontal="center" readingOrder="0"/>
    </xf>
    <xf borderId="4" fillId="0" fontId="21" numFmtId="44" xfId="0" applyAlignment="1" applyBorder="1" applyFont="1" applyNumberFormat="1">
      <alignment horizontal="center" readingOrder="0" vertical="center"/>
    </xf>
    <xf borderId="4" fillId="0" fontId="4" numFmtId="1" xfId="0" applyAlignment="1" applyBorder="1" applyFont="1" applyNumberFormat="1">
      <alignment horizontal="center" readingOrder="0" vertical="center"/>
    </xf>
    <xf borderId="0" fillId="12" fontId="3" numFmtId="0" xfId="0" applyAlignment="1" applyFill="1" applyFont="1">
      <alignment readingOrder="0"/>
    </xf>
    <xf borderId="0" fillId="12" fontId="3" numFmtId="166" xfId="0" applyAlignment="1" applyFill="1" applyFont="1" applyNumberFormat="1">
      <alignment horizontal="center" readingOrder="0"/>
    </xf>
    <xf borderId="4" fillId="0" fontId="4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4" fillId="0" fontId="24" numFmtId="166" xfId="0" applyAlignment="1" applyBorder="1" applyFont="1" applyNumberFormat="1">
      <alignment horizontal="left" readingOrder="0" vertical="center"/>
    </xf>
    <xf borderId="4" fillId="0" fontId="4" numFmtId="1" xfId="0" applyAlignment="1" applyBorder="1" applyFont="1" applyNumberFormat="1">
      <alignment horizontal="center" vertical="center"/>
    </xf>
    <xf borderId="0" fillId="0" fontId="27" numFmtId="0" xfId="0" applyAlignment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4" fillId="13" fontId="19" numFmtId="44" xfId="0" applyAlignment="1" applyBorder="1" applyFill="1" applyFont="1" applyNumberFormat="1">
      <alignment horizontal="center" vertical="center"/>
    </xf>
    <xf borderId="4" fillId="0" fontId="4" numFmtId="0" xfId="0" applyAlignment="1" applyBorder="1" applyFont="1">
      <alignment horizontal="left" vertical="center"/>
    </xf>
    <xf borderId="0" fillId="0" fontId="19" numFmtId="0" xfId="0" applyAlignment="1" applyFont="1">
      <alignment readingOrder="0" vertical="bottom"/>
    </xf>
    <xf borderId="0" fillId="13" fontId="19" numFmtId="44" xfId="0" applyAlignment="1" applyFill="1" applyFont="1" applyNumberFormat="1">
      <alignment horizontal="center" vertical="center"/>
    </xf>
    <xf borderId="0" fillId="6" fontId="10" numFmtId="44" xfId="0" applyAlignment="1" applyFill="1" applyFont="1" applyNumberFormat="1">
      <alignment readingOrder="0" vertical="center"/>
    </xf>
    <xf borderId="0" fillId="8" fontId="1" numFmtId="0" xfId="0" applyAlignment="1" applyFill="1" applyFont="1">
      <alignment readingOrder="0" vertical="center"/>
    </xf>
    <xf borderId="0" fillId="8" fontId="17" numFmtId="44" xfId="0" applyAlignment="1" applyFill="1" applyFont="1" applyNumberFormat="1">
      <alignment readingOrder="0" vertical="center"/>
    </xf>
    <xf borderId="0" fillId="8" fontId="1" numFmtId="10" xfId="0" applyAlignment="1" applyFill="1" applyFont="1" applyNumberFormat="1">
      <alignment horizontal="center" readingOrder="0" vertical="center"/>
    </xf>
    <xf borderId="0" fillId="6" fontId="28" numFmtId="0" xfId="0" applyAlignment="1" applyFill="1" applyFont="1">
      <alignment horizontal="center" readingOrder="0" vertical="center"/>
    </xf>
    <xf borderId="0" fillId="6" fontId="29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9" fontId="1" numFmtId="0" xfId="0" applyAlignment="1" applyFill="1" applyFont="1">
      <alignment readingOrder="0" vertical="center"/>
    </xf>
    <xf borderId="0" fillId="9" fontId="1" numFmtId="166" xfId="0" applyAlignment="1" applyFill="1" applyFont="1" applyNumberFormat="1">
      <alignment horizontal="center" readingOrder="0" vertical="center"/>
    </xf>
    <xf borderId="0" fillId="0" fontId="3" numFmtId="166" xfId="0" applyAlignment="1" applyFont="1" applyNumberFormat="1">
      <alignment readingOrder="0"/>
    </xf>
    <xf borderId="0" fillId="6" fontId="29" numFmtId="167" xfId="0" applyAlignment="1" applyFill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4" numFmtId="166" xfId="0" applyAlignment="1" applyBorder="1" applyFont="1" applyNumberFormat="1">
      <alignment horizontal="center" vertical="center"/>
    </xf>
    <xf borderId="5" fillId="0" fontId="4" numFmtId="10" xfId="0" applyAlignment="1" applyBorder="1" applyFont="1" applyNumberFormat="1">
      <alignment horizontal="center" readingOrder="0" vertical="bottom"/>
    </xf>
    <xf borderId="5" fillId="0" fontId="1" numFmtId="166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5" fillId="0" fontId="4" numFmtId="10" xfId="0" applyAlignment="1" applyBorder="1" applyFont="1" applyNumberFormat="1">
      <alignment horizontal="center" vertical="bottom"/>
    </xf>
    <xf borderId="4" fillId="0" fontId="4" numFmtId="166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1" numFmtId="10" xfId="0" applyAlignment="1" applyFont="1" applyNumberFormat="1">
      <alignment vertical="center"/>
    </xf>
    <xf borderId="0" fillId="8" fontId="19" numFmtId="10" xfId="0" applyAlignment="1" applyFill="1" applyFont="1" applyNumberFormat="1">
      <alignment readingOrder="0" vertical="center"/>
    </xf>
    <xf borderId="0" fillId="8" fontId="1" numFmtId="10" xfId="0" applyAlignment="1" applyFill="1" applyFont="1" applyNumberFormat="1">
      <alignment readingOrder="0" vertical="center"/>
    </xf>
    <xf borderId="0" fillId="4" fontId="4" numFmtId="166" xfId="0" applyFill="1" applyFont="1" applyNumberFormat="1"/>
    <xf borderId="0" fillId="4" fontId="4" numFmtId="168" xfId="0" applyFill="1" applyFont="1" applyNumberFormat="1"/>
    <xf borderId="0" fillId="9" fontId="1" numFmtId="0" xfId="0" applyAlignment="1" applyFill="1" applyFont="1">
      <alignment vertical="center"/>
    </xf>
    <xf borderId="0" fillId="9" fontId="3" numFmtId="166" xfId="0" applyAlignment="1" applyFill="1" applyFont="1" applyNumberFormat="1">
      <alignment horizontal="center" vertical="center"/>
    </xf>
    <xf borderId="0" fillId="5" fontId="8" numFmtId="0" xfId="0" applyAlignment="1" applyFill="1" applyFont="1">
      <alignment readingOrder="0" vertical="center"/>
    </xf>
    <xf borderId="0" fillId="5" fontId="8" numFmtId="166" xfId="0" applyAlignment="1" applyFill="1" applyFont="1" applyNumberFormat="1">
      <alignment readingOrder="0" vertical="center"/>
    </xf>
    <xf borderId="0" fillId="5" fontId="25" numFmtId="166" xfId="0" applyAlignment="1" applyFill="1" applyFont="1" applyNumberFormat="1">
      <alignment horizontal="center" vertical="center"/>
    </xf>
    <xf borderId="0" fillId="5" fontId="30" numFmtId="10" xfId="0" applyAlignment="1" applyFill="1" applyFont="1" applyNumberForma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5" fontId="17" numFmtId="0" xfId="0" applyAlignment="1" applyFill="1" applyFont="1">
      <alignment readingOrder="0" vertical="center"/>
    </xf>
    <xf borderId="0" fillId="5" fontId="23" numFmtId="10" xfId="0" applyAlignment="1" applyFill="1" applyFont="1" applyNumberFormat="1">
      <alignment horizontal="center" readingOrder="0" vertical="center"/>
    </xf>
    <xf borderId="0" fillId="14" fontId="25" numFmtId="166" xfId="0" applyAlignment="1" applyFill="1" applyFont="1" applyNumberFormat="1">
      <alignment horizontal="center" vertical="center"/>
    </xf>
    <xf borderId="0" fillId="14" fontId="23" numFmtId="10" xfId="0" applyAlignment="1" applyFill="1" applyFont="1" applyNumberFormat="1">
      <alignment horizontal="center" readingOrder="0" vertical="center"/>
    </xf>
    <xf borderId="0" fillId="14" fontId="30" numFmtId="10" xfId="0" applyAlignment="1" applyFill="1" applyFont="1" applyNumberFormat="1">
      <alignment horizontal="center" readingOrder="0" vertical="center"/>
    </xf>
    <xf borderId="0" fillId="0" fontId="4" numFmtId="177" xfId="0" applyFont="1" applyNumberFormat="1"/>
    <xf borderId="0" fillId="0" fontId="4" numFmtId="169" xfId="0" applyFont="1" applyNumberFormat="1"/>
    <xf quotePrefix="1" borderId="0" fillId="0" fontId="4" numFmtId="0" xfId="0" applyFont="1"/>
    <xf borderId="0" fillId="0" fontId="19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>
        <b/>
        <color rgb="FF197F19"/>
      </font>
      <fill>
        <patternFill patternType="solid">
          <fgColor rgb="FFD8EDD3"/>
          <bgColor rgb="FFD8EDD3"/>
        </patternFill>
      </fill>
      <border/>
    </dxf>
    <dxf>
      <font>
        <b/>
        <color rgb="FFCC1919"/>
      </font>
      <fill>
        <patternFill patternType="solid">
          <fgColor rgb="FFF9CCCC"/>
          <bgColor rgb="FFF9CCCC"/>
        </patternFill>
      </fill>
      <border/>
    </dxf>
    <dxf>
      <font>
        <b/>
        <color rgb="FFCC0000"/>
      </font>
      <fill>
        <patternFill patternType="solid">
          <fgColor rgb="FFFFCCCC"/>
          <bgColor rgb="FFFFCCCC"/>
        </patternFill>
      </fill>
      <border/>
    </dxf>
    <dxf>
      <font>
        <color rgb="FFE06666"/>
      </font>
      <fill>
        <patternFill patternType="none"/>
      </fill>
      <border/>
    </dxf>
    <dxf>
      <font>
        <color rgb="FF93C47D"/>
      </font>
      <fill>
        <patternFill patternType="none"/>
      </fill>
      <border/>
    </dxf>
    <dxf>
      <font>
        <color rgb="FF6D9EEB"/>
      </font>
      <fill>
        <patternFill patternType="none"/>
      </fill>
      <border/>
    </dxf>
    <dxf>
      <font>
        <color rgb="FF007F00"/>
      </font>
      <fill>
        <patternFill patternType="solid">
          <fgColor rgb="FFCCFFCC"/>
          <bgColor rgb="FFCCFFCC"/>
        </patternFill>
      </fill>
      <border/>
    </dxf>
    <dxf>
      <font>
        <color rgb="FFFF0000"/>
      </font>
      <fill>
        <patternFill patternType="solid">
          <fgColor rgb="FFFFCCCC"/>
          <bgColor rgb="FFFFCCCC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Caja Final vs Saldo Mínimo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'Flujo de Efectivo'!$D$3:$BK$3</c:f>
            </c:strRef>
          </c:cat>
          <c:val>
            <c:numRef>
              <c:f>'Flujo de Efectivo'!$D$67:$BK$67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'Flujo de Efectivo'!$D$3:$BK$3</c:f>
            </c:strRef>
          </c:cat>
          <c:val>
            <c:numRef>
              <c:f>'Flujo de Efectivo'!$D$70:$BK$70</c:f>
              <c:numCache/>
            </c:numRef>
          </c:val>
          <c:smooth val="0"/>
        </c:ser>
        <c:axId val="1976874159"/>
        <c:axId val="541444443"/>
      </c:lineChart>
      <c:catAx>
        <c:axId val="197687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444443"/>
      </c:catAx>
      <c:valAx>
        <c:axId val="541444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8741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Caja Final vs Saldo Mínimo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'Flujo de Efectivo'!$D$3:$BK$3</c:f>
            </c:strRef>
          </c:cat>
          <c:val>
            <c:numRef>
              <c:f>'Flujo de Efectivo'!$D$74:$BK$74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'Flujo de Efectivo'!$D$3:$BK$3</c:f>
            </c:strRef>
          </c:cat>
          <c:val>
            <c:numRef>
              <c:f>'Flujo de Efectivo'!$D$75:$BK$75</c:f>
              <c:numCache/>
            </c:numRef>
          </c:val>
          <c:smooth val="0"/>
        </c:ser>
        <c:axId val="1067378498"/>
        <c:axId val="529464340"/>
      </c:lineChart>
      <c:catAx>
        <c:axId val="1067378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464340"/>
      </c:catAx>
      <c:valAx>
        <c:axId val="529464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3784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0</xdr:rowOff>
    </xdr:from>
    <xdr:ext cx="400050" cy="400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5715000" cy="3810000"/>
    <xdr:graphicFrame>
      <xdr:nvGraphicFramePr>
        <xdr:cNvPr id="1" name="Chart 1" title="Caja Final vs Saldo Mínim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885825</xdr:colOff>
      <xdr:row>4</xdr:row>
      <xdr:rowOff>0</xdr:rowOff>
    </xdr:from>
    <xdr:ext cx="5715000" cy="3333750"/>
    <xdr:graphicFrame>
      <xdr:nvGraphicFramePr>
        <xdr:cNvPr id="2" name="Chart 2" title="Caja Final vs Saldo Mínim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57375" cy="143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0q9bJVZG2DdfRjTc1ZMQ_4OAFTzMJZ1OTJRYtunLaA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79.5"/>
    <col customWidth="1" min="2" max="2" width="33.63"/>
  </cols>
  <sheetData>
    <row r="1">
      <c r="A1" s="1" t="s">
        <v>0</v>
      </c>
    </row>
    <row r="2">
      <c r="A2" s="1" t="s">
        <v>1</v>
      </c>
      <c r="B2" s="2">
        <v>0.0833</v>
      </c>
    </row>
    <row r="3">
      <c r="A3" s="1" t="s">
        <v>2</v>
      </c>
      <c r="B3" s="3">
        <v>0.75</v>
      </c>
    </row>
    <row r="4">
      <c r="A4" s="1" t="s">
        <v>4</v>
      </c>
      <c r="B4" s="1">
        <v>1785.0</v>
      </c>
    </row>
    <row r="5">
      <c r="A5" s="1" t="s">
        <v>5</v>
      </c>
      <c r="B5" s="1">
        <v>2870.45</v>
      </c>
    </row>
    <row r="6">
      <c r="A6" s="1" t="s">
        <v>6</v>
      </c>
      <c r="B6" s="7">
        <f>InflacionEsc</f>
        <v>0.045</v>
      </c>
    </row>
    <row r="7">
      <c r="A7" s="1" t="s">
        <v>15</v>
      </c>
      <c r="B7" s="1">
        <v>2025.0</v>
      </c>
    </row>
    <row r="9">
      <c r="A9" s="1" t="s">
        <v>16</v>
      </c>
      <c r="B9" s="1">
        <v>1.0</v>
      </c>
    </row>
    <row r="10">
      <c r="A10" s="1" t="s">
        <v>17</v>
      </c>
      <c r="B10" s="1">
        <v>1.6</v>
      </c>
    </row>
    <row r="11">
      <c r="A11" s="1" t="s">
        <v>19</v>
      </c>
      <c r="B11" s="1">
        <v>2.2</v>
      </c>
    </row>
    <row r="13">
      <c r="A13" s="1" t="s">
        <v>21</v>
      </c>
      <c r="B13" s="10">
        <v>2.0</v>
      </c>
      <c r="C13" s="1" t="s">
        <v>22</v>
      </c>
    </row>
    <row r="14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</row>
    <row r="15">
      <c r="A15" s="1" t="s">
        <v>28</v>
      </c>
      <c r="B15" s="1">
        <v>9.0</v>
      </c>
      <c r="C15" s="1">
        <v>8.0</v>
      </c>
      <c r="D15" s="1">
        <v>7.0</v>
      </c>
      <c r="E15" s="1">
        <f t="array" ref="E15">INDEX(B15:D15,1,Escenario)</f>
        <v>8</v>
      </c>
    </row>
    <row r="16">
      <c r="A16" s="1" t="s">
        <v>29</v>
      </c>
      <c r="B16" s="2">
        <v>0.02</v>
      </c>
      <c r="C16" s="2">
        <v>0.04</v>
      </c>
      <c r="D16" s="2">
        <v>0.06</v>
      </c>
      <c r="E16" s="2">
        <f t="array" ref="E16">INDEX(B16:D16,1,Escenario)</f>
        <v>0.04</v>
      </c>
    </row>
    <row r="17">
      <c r="A17" s="1" t="s">
        <v>30</v>
      </c>
      <c r="B17" s="1">
        <v>24.0</v>
      </c>
      <c r="C17" s="1">
        <v>18.0</v>
      </c>
      <c r="D17" s="1">
        <v>12.0</v>
      </c>
      <c r="E17" s="1">
        <f t="array" ref="E17">INDEX(B17:D17,1,Escenario)</f>
        <v>18</v>
      </c>
    </row>
    <row r="18">
      <c r="A18" s="1" t="s">
        <v>31</v>
      </c>
      <c r="B18" s="2">
        <v>0.08</v>
      </c>
      <c r="C18" s="2">
        <v>0.05</v>
      </c>
      <c r="D18" s="2">
        <v>0.03</v>
      </c>
      <c r="E18" s="2">
        <f t="array" ref="E18">INDEX(B18:D18,1,Escenario)</f>
        <v>0.05</v>
      </c>
    </row>
    <row r="19">
      <c r="A19" s="1" t="s">
        <v>32</v>
      </c>
      <c r="B19" s="2">
        <v>0.1</v>
      </c>
      <c r="C19" s="2">
        <v>0.06</v>
      </c>
      <c r="D19" s="2">
        <v>0.03</v>
      </c>
      <c r="E19" s="2">
        <f t="array" ref="E19">INDEX(B19:D19,1,Escenario)</f>
        <v>0.06</v>
      </c>
    </row>
    <row r="20">
      <c r="A20" s="1" t="s">
        <v>6</v>
      </c>
      <c r="B20" s="2">
        <v>0.06</v>
      </c>
      <c r="C20" s="2">
        <v>0.045</v>
      </c>
      <c r="D20" s="2">
        <v>0.035</v>
      </c>
      <c r="E20" s="2">
        <f t="array" ref="E20">INDEX(B20:D20,1,Escenario)</f>
        <v>0.045</v>
      </c>
    </row>
    <row r="21">
      <c r="A21" s="9" t="s">
        <v>33</v>
      </c>
      <c r="B21" s="12">
        <v>0.06</v>
      </c>
    </row>
    <row r="22">
      <c r="A22" s="9" t="s">
        <v>34</v>
      </c>
      <c r="B22" s="13">
        <v>0.6</v>
      </c>
      <c r="C22" s="9" t="s">
        <v>35</v>
      </c>
    </row>
    <row r="23">
      <c r="A23" s="9" t="s">
        <v>36</v>
      </c>
      <c r="B23" s="14">
        <v>3.0</v>
      </c>
    </row>
    <row r="24">
      <c r="A24" s="9" t="s">
        <v>37</v>
      </c>
      <c r="B24" s="15">
        <f>B21*(1-B22)</f>
        <v>0.024</v>
      </c>
    </row>
    <row r="25">
      <c r="A25" s="9" t="s">
        <v>38</v>
      </c>
      <c r="B25" s="15">
        <f t="array" ref="B25">INDEX(B16:D16,1,$B$13)</f>
        <v>0.04</v>
      </c>
    </row>
    <row r="26">
      <c r="A26" s="9" t="s">
        <v>39</v>
      </c>
      <c r="B26" s="18">
        <f>'Paso 5 Resumen Desglose de Inve'!$D$68/89</f>
        <v>8251.460674</v>
      </c>
    </row>
    <row r="27">
      <c r="A27" s="9" t="s">
        <v>41</v>
      </c>
      <c r="B27" s="14">
        <v>117.0</v>
      </c>
    </row>
    <row r="28">
      <c r="A28" s="9" t="s">
        <v>42</v>
      </c>
      <c r="B28" s="12">
        <v>0.1</v>
      </c>
      <c r="C28" s="12">
        <v>0.06</v>
      </c>
      <c r="D28" s="12">
        <v>0.03</v>
      </c>
      <c r="E28" s="15">
        <f t="shared" ref="E28:E30" si="1">INDEX(B28:D28,1,$B$13)</f>
        <v>0.06</v>
      </c>
    </row>
    <row r="29">
      <c r="A29" s="9" t="s">
        <v>43</v>
      </c>
      <c r="B29" s="12">
        <v>0.3</v>
      </c>
      <c r="C29" s="12">
        <v>0.6</v>
      </c>
      <c r="D29" s="12">
        <v>0.85</v>
      </c>
      <c r="E29" s="15">
        <f t="shared" si="1"/>
        <v>0.6</v>
      </c>
    </row>
    <row r="30">
      <c r="A30" s="9" t="s">
        <v>44</v>
      </c>
      <c r="B30" s="14">
        <v>5.0</v>
      </c>
      <c r="C30" s="14">
        <v>3.0</v>
      </c>
      <c r="D30" s="14">
        <v>2.0</v>
      </c>
      <c r="E30" s="19">
        <f t="shared" si="1"/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2"/>
  <cols>
    <col customWidth="1" min="1" max="1" width="5.25"/>
    <col customWidth="1" min="2" max="2" width="6.5"/>
    <col customWidth="1" min="3" max="3" width="69.5"/>
    <col customWidth="1" min="4" max="15" width="21.25"/>
    <col customWidth="1" min="16" max="65" width="24.88"/>
  </cols>
  <sheetData>
    <row r="1" ht="171.0" customHeight="1">
      <c r="A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ht="22.5" customHeight="1">
      <c r="A2" s="17" t="s">
        <v>40</v>
      </c>
      <c r="D2" s="17" t="str">
        <f>"Q"&amp;ROUNDUP(MONTH(D$3)/3, 0)&amp;" "&amp;YEAR(D$3)
</f>
        <v>Q1 2025</v>
      </c>
      <c r="G2" s="17" t="str">
        <f>"Q"&amp;ROUNDUP(MONTH(G$3)/3, 0)&amp;" "&amp;YEAR(G$3)
</f>
        <v>Q2 2025</v>
      </c>
      <c r="J2" s="17" t="str">
        <f>"Q"&amp;ROUNDUP(MONTH(J$3)/3, 0)&amp;" "&amp;YEAR(J$3)
</f>
        <v>Q3 2025</v>
      </c>
      <c r="M2" s="17" t="str">
        <f>"Q"&amp;ROUNDUP(MONTH(M$3)/3, 0)&amp;" "&amp;YEAR(M$3)
</f>
        <v>Q4 2025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</row>
    <row r="3" ht="22.5" customHeight="1">
      <c r="D3" s="21">
        <v>45658.0</v>
      </c>
      <c r="E3" s="21">
        <f t="shared" ref="E3:BK3" si="1">EDATE(D3,1)</f>
        <v>45689</v>
      </c>
      <c r="F3" s="21">
        <f t="shared" si="1"/>
        <v>45717</v>
      </c>
      <c r="G3" s="21">
        <f t="shared" si="1"/>
        <v>45748</v>
      </c>
      <c r="H3" s="21">
        <f t="shared" si="1"/>
        <v>45778</v>
      </c>
      <c r="I3" s="21">
        <f t="shared" si="1"/>
        <v>45809</v>
      </c>
      <c r="J3" s="21">
        <f t="shared" si="1"/>
        <v>45839</v>
      </c>
      <c r="K3" s="21">
        <f t="shared" si="1"/>
        <v>45870</v>
      </c>
      <c r="L3" s="21">
        <f t="shared" si="1"/>
        <v>45901</v>
      </c>
      <c r="M3" s="21">
        <f t="shared" si="1"/>
        <v>45931</v>
      </c>
      <c r="N3" s="21">
        <f t="shared" si="1"/>
        <v>45962</v>
      </c>
      <c r="O3" s="21">
        <f t="shared" si="1"/>
        <v>45992</v>
      </c>
      <c r="P3" s="22">
        <f t="shared" si="1"/>
        <v>46023</v>
      </c>
      <c r="Q3" s="22">
        <f t="shared" si="1"/>
        <v>46054</v>
      </c>
      <c r="R3" s="22">
        <f t="shared" si="1"/>
        <v>46082</v>
      </c>
      <c r="S3" s="22">
        <f t="shared" si="1"/>
        <v>46113</v>
      </c>
      <c r="T3" s="22">
        <f t="shared" si="1"/>
        <v>46143</v>
      </c>
      <c r="U3" s="22">
        <f t="shared" si="1"/>
        <v>46174</v>
      </c>
      <c r="V3" s="22">
        <f t="shared" si="1"/>
        <v>46204</v>
      </c>
      <c r="W3" s="22">
        <f t="shared" si="1"/>
        <v>46235</v>
      </c>
      <c r="X3" s="22">
        <f t="shared" si="1"/>
        <v>46266</v>
      </c>
      <c r="Y3" s="22">
        <f t="shared" si="1"/>
        <v>46296</v>
      </c>
      <c r="Z3" s="22">
        <f t="shared" si="1"/>
        <v>46327</v>
      </c>
      <c r="AA3" s="22">
        <f t="shared" si="1"/>
        <v>46357</v>
      </c>
      <c r="AB3" s="22">
        <f t="shared" si="1"/>
        <v>46388</v>
      </c>
      <c r="AC3" s="22">
        <f t="shared" si="1"/>
        <v>46419</v>
      </c>
      <c r="AD3" s="22">
        <f t="shared" si="1"/>
        <v>46447</v>
      </c>
      <c r="AE3" s="22">
        <f t="shared" si="1"/>
        <v>46478</v>
      </c>
      <c r="AF3" s="22">
        <f t="shared" si="1"/>
        <v>46508</v>
      </c>
      <c r="AG3" s="22">
        <f t="shared" si="1"/>
        <v>46539</v>
      </c>
      <c r="AH3" s="22">
        <f t="shared" si="1"/>
        <v>46569</v>
      </c>
      <c r="AI3" s="22">
        <f t="shared" si="1"/>
        <v>46600</v>
      </c>
      <c r="AJ3" s="22">
        <f t="shared" si="1"/>
        <v>46631</v>
      </c>
      <c r="AK3" s="22">
        <f t="shared" si="1"/>
        <v>46661</v>
      </c>
      <c r="AL3" s="22">
        <f t="shared" si="1"/>
        <v>46692</v>
      </c>
      <c r="AM3" s="22">
        <f t="shared" si="1"/>
        <v>46722</v>
      </c>
      <c r="AN3" s="22">
        <f t="shared" si="1"/>
        <v>46753</v>
      </c>
      <c r="AO3" s="22">
        <f t="shared" si="1"/>
        <v>46784</v>
      </c>
      <c r="AP3" s="22">
        <f t="shared" si="1"/>
        <v>46813</v>
      </c>
      <c r="AQ3" s="22">
        <f t="shared" si="1"/>
        <v>46844</v>
      </c>
      <c r="AR3" s="22">
        <f t="shared" si="1"/>
        <v>46874</v>
      </c>
      <c r="AS3" s="22">
        <f t="shared" si="1"/>
        <v>46905</v>
      </c>
      <c r="AT3" s="22">
        <f t="shared" si="1"/>
        <v>46935</v>
      </c>
      <c r="AU3" s="22">
        <f t="shared" si="1"/>
        <v>46966</v>
      </c>
      <c r="AV3" s="22">
        <f t="shared" si="1"/>
        <v>46997</v>
      </c>
      <c r="AW3" s="22">
        <f t="shared" si="1"/>
        <v>47027</v>
      </c>
      <c r="AX3" s="22">
        <f t="shared" si="1"/>
        <v>47058</v>
      </c>
      <c r="AY3" s="22">
        <f t="shared" si="1"/>
        <v>47088</v>
      </c>
      <c r="AZ3" s="22">
        <f t="shared" si="1"/>
        <v>47119</v>
      </c>
      <c r="BA3" s="22">
        <f t="shared" si="1"/>
        <v>47150</v>
      </c>
      <c r="BB3" s="22">
        <f t="shared" si="1"/>
        <v>47178</v>
      </c>
      <c r="BC3" s="22">
        <f t="shared" si="1"/>
        <v>47209</v>
      </c>
      <c r="BD3" s="22">
        <f t="shared" si="1"/>
        <v>47239</v>
      </c>
      <c r="BE3" s="22">
        <f t="shared" si="1"/>
        <v>47270</v>
      </c>
      <c r="BF3" s="22">
        <f t="shared" si="1"/>
        <v>47300</v>
      </c>
      <c r="BG3" s="22">
        <f t="shared" si="1"/>
        <v>47331</v>
      </c>
      <c r="BH3" s="22">
        <f t="shared" si="1"/>
        <v>47362</v>
      </c>
      <c r="BI3" s="22">
        <f t="shared" si="1"/>
        <v>47392</v>
      </c>
      <c r="BJ3" s="22">
        <f t="shared" si="1"/>
        <v>47423</v>
      </c>
      <c r="BK3" s="22">
        <f t="shared" si="1"/>
        <v>47453</v>
      </c>
      <c r="BL3" s="26" t="s">
        <v>61</v>
      </c>
      <c r="BM3" s="26" t="s">
        <v>65</v>
      </c>
    </row>
    <row r="4" ht="22.5" customHeight="1">
      <c r="A4" s="27" t="s">
        <v>68</v>
      </c>
      <c r="B4" s="28"/>
      <c r="C4" s="28"/>
      <c r="D4" s="29">
        <f>IF(ModoStress="ON", FactorADR*FactorOcc*FactorLlaves, 1)</f>
        <v>1</v>
      </c>
      <c r="E4" s="29">
        <f>IF(ModoStress="ON", FactorADR*FactorOcc*FactorLlaves, 1)</f>
        <v>1</v>
      </c>
      <c r="F4" s="29">
        <f>IF(ModoStress="ON", FactorADR*FactorOcc*FactorLlaves, 1)</f>
        <v>1</v>
      </c>
      <c r="G4" s="29">
        <f>IF(ModoStress="ON", FactorADR*FactorOcc*FactorLlaves, 1)</f>
        <v>1</v>
      </c>
      <c r="H4" s="29">
        <f>IF(ModoStress="ON", FactorADR*FactorOcc*FactorLlaves, 1)</f>
        <v>1</v>
      </c>
      <c r="I4" s="29">
        <f>IF(ModoStress="ON", FactorADR*FactorOcc*FactorLlaves, 1)</f>
        <v>1</v>
      </c>
      <c r="J4" s="29">
        <f>IF(ModoStress="ON", FactorADR*FactorOcc*FactorLlaves, 1)</f>
        <v>1</v>
      </c>
      <c r="K4" s="29">
        <f>IF(ModoStress="ON", FactorADR*FactorOcc*FactorLlaves, 1)</f>
        <v>1</v>
      </c>
      <c r="L4" s="29">
        <f>IF(ModoStress="ON", FactorADR*FactorOcc*FactorLlaves, 1)</f>
        <v>1</v>
      </c>
      <c r="M4" s="29">
        <f>IF(ModoStress="ON", FactorADR*FactorOcc*FactorLlaves, 1)</f>
        <v>1</v>
      </c>
      <c r="N4" s="29">
        <f>IF(ModoStress="ON", FactorADR*FactorOcc*FactorLlaves, 1)</f>
        <v>1</v>
      </c>
      <c r="O4" s="29">
        <f>IF(ModoStress="ON", FactorADR*FactorOcc*FactorLlaves, 1)</f>
        <v>1</v>
      </c>
      <c r="P4" s="33">
        <f>IF(ModoStress="ON", FactorADR*FactorOcc*FactorLlaves, 1)</f>
        <v>1</v>
      </c>
      <c r="Q4" s="33">
        <f>IF(ModoStress="ON", FactorADR*FactorOcc*FactorLlaves, 1)</f>
        <v>1</v>
      </c>
      <c r="R4" s="33">
        <f>IF(ModoStress="ON", FactorADR*FactorOcc*FactorLlaves, 1)</f>
        <v>1</v>
      </c>
      <c r="S4" s="33">
        <f>IF(ModoStress="ON", FactorADR*FactorOcc*FactorLlaves, 1)</f>
        <v>1</v>
      </c>
      <c r="T4" s="33">
        <f>IF(ModoStress="ON", FactorADR*FactorOcc*FactorLlaves, 1)</f>
        <v>1</v>
      </c>
      <c r="U4" s="33">
        <f>IF(ModoStress="ON", FactorADR*FactorOcc*FactorLlaves, 1)</f>
        <v>1</v>
      </c>
      <c r="V4" s="33">
        <f>IF(ModoStress="ON", FactorADR*FactorOcc*FactorLlaves, 1)</f>
        <v>1</v>
      </c>
      <c r="W4" s="33">
        <f>IF(ModoStress="ON", FactorADR*FactorOcc*FactorLlaves, 1)</f>
        <v>1</v>
      </c>
      <c r="X4" s="33">
        <f>IF(ModoStress="ON", FactorADR*FactorOcc*FactorLlaves, 1)</f>
        <v>1</v>
      </c>
      <c r="Y4" s="33">
        <f>IF(ModoStress="ON", FactorADR*FactorOcc*FactorLlaves, 1)</f>
        <v>1</v>
      </c>
      <c r="Z4" s="33">
        <f>IF(ModoStress="ON", FactorADR*FactorOcc*FactorLlaves, 1)</f>
        <v>1</v>
      </c>
      <c r="AA4" s="33">
        <f>IF(ModoStress="ON", FactorADR*FactorOcc*FactorLlaves, 1)</f>
        <v>1</v>
      </c>
      <c r="AB4" s="33">
        <f>IF(ModoStress="ON", FactorADR*FactorOcc*FactorLlaves, 1)</f>
        <v>1</v>
      </c>
      <c r="AC4" s="33">
        <f>IF(ModoStress="ON", FactorADR*FactorOcc*FactorLlaves, 1)</f>
        <v>1</v>
      </c>
      <c r="AD4" s="33">
        <f>IF(ModoStress="ON", FactorADR*FactorOcc*FactorLlaves, 1)</f>
        <v>1</v>
      </c>
      <c r="AE4" s="33">
        <f>IF(ModoStress="ON", FactorADR*FactorOcc*FactorLlaves, 1)</f>
        <v>1</v>
      </c>
      <c r="AF4" s="33">
        <f>IF(ModoStress="ON", FactorADR*FactorOcc*FactorLlaves, 1)</f>
        <v>1</v>
      </c>
      <c r="AG4" s="33">
        <f>IF(ModoStress="ON", FactorADR*FactorOcc*FactorLlaves, 1)</f>
        <v>1</v>
      </c>
      <c r="AH4" s="33">
        <f>IF(ModoStress="ON", FactorADR*FactorOcc*FactorLlaves, 1)</f>
        <v>1</v>
      </c>
      <c r="AI4" s="33">
        <f>IF(ModoStress="ON", FactorADR*FactorOcc*FactorLlaves, 1)</f>
        <v>1</v>
      </c>
      <c r="AJ4" s="33">
        <f>IF(ModoStress="ON", FactorADR*FactorOcc*FactorLlaves, 1)</f>
        <v>1</v>
      </c>
      <c r="AK4" s="33">
        <f>IF(ModoStress="ON", FactorADR*FactorOcc*FactorLlaves, 1)</f>
        <v>1</v>
      </c>
      <c r="AL4" s="33">
        <f>IF(ModoStress="ON", FactorADR*FactorOcc*FactorLlaves, 1)</f>
        <v>1</v>
      </c>
      <c r="AM4" s="33">
        <f>IF(ModoStress="ON", FactorADR*FactorOcc*FactorLlaves, 1)</f>
        <v>1</v>
      </c>
      <c r="AN4" s="33">
        <f>IF(ModoStress="ON", FactorADR*FactorOcc*FactorLlaves, 1)</f>
        <v>1</v>
      </c>
      <c r="AO4" s="33">
        <f>IF(ModoStress="ON", FactorADR*FactorOcc*FactorLlaves, 1)</f>
        <v>1</v>
      </c>
      <c r="AP4" s="33">
        <f>IF(ModoStress="ON", FactorADR*FactorOcc*FactorLlaves, 1)</f>
        <v>1</v>
      </c>
      <c r="AQ4" s="33">
        <f>IF(ModoStress="ON", FactorADR*FactorOcc*FactorLlaves, 1)</f>
        <v>1</v>
      </c>
      <c r="AR4" s="33">
        <f>IF(ModoStress="ON", FactorADR*FactorOcc*FactorLlaves, 1)</f>
        <v>1</v>
      </c>
      <c r="AS4" s="33">
        <f>IF(ModoStress="ON", FactorADR*FactorOcc*FactorLlaves, 1)</f>
        <v>1</v>
      </c>
      <c r="AT4" s="33">
        <f>IF(ModoStress="ON", FactorADR*FactorOcc*FactorLlaves, 1)</f>
        <v>1</v>
      </c>
      <c r="AU4" s="33">
        <f>IF(ModoStress="ON", FactorADR*FactorOcc*FactorLlaves, 1)</f>
        <v>1</v>
      </c>
      <c r="AV4" s="33">
        <f>IF(ModoStress="ON", FactorADR*FactorOcc*FactorLlaves, 1)</f>
        <v>1</v>
      </c>
      <c r="AW4" s="33">
        <f>IF(ModoStress="ON", FactorADR*FactorOcc*FactorLlaves, 1)</f>
        <v>1</v>
      </c>
      <c r="AX4" s="33">
        <f>IF(ModoStress="ON", FactorADR*FactorOcc*FactorLlaves, 1)</f>
        <v>1</v>
      </c>
      <c r="AY4" s="33">
        <f>IF(ModoStress="ON", FactorADR*FactorOcc*FactorLlaves, 1)</f>
        <v>1</v>
      </c>
      <c r="AZ4" s="33">
        <f>IF(ModoStress="ON", FactorADR*FactorOcc*FactorLlaves, 1)</f>
        <v>1</v>
      </c>
      <c r="BA4" s="33">
        <f>IF(ModoStress="ON", FactorADR*FactorOcc*FactorLlaves, 1)</f>
        <v>1</v>
      </c>
      <c r="BB4" s="33">
        <f>IF(ModoStress="ON", FactorADR*FactorOcc*FactorLlaves, 1)</f>
        <v>1</v>
      </c>
      <c r="BC4" s="33">
        <f>IF(ModoStress="ON", FactorADR*FactorOcc*FactorLlaves, 1)</f>
        <v>1</v>
      </c>
      <c r="BD4" s="33">
        <f>IF(ModoStress="ON", FactorADR*FactorOcc*FactorLlaves, 1)</f>
        <v>1</v>
      </c>
      <c r="BE4" s="33">
        <f>IF(ModoStress="ON", FactorADR*FactorOcc*FactorLlaves, 1)</f>
        <v>1</v>
      </c>
      <c r="BF4" s="33">
        <f>IF(ModoStress="ON", FactorADR*FactorOcc*FactorLlaves, 1)</f>
        <v>1</v>
      </c>
      <c r="BG4" s="33">
        <f>IF(ModoStress="ON", FactorADR*FactorOcc*FactorLlaves, 1)</f>
        <v>1</v>
      </c>
      <c r="BH4" s="33">
        <f>IF(ModoStress="ON", FactorADR*FactorOcc*FactorLlaves, 1)</f>
        <v>1</v>
      </c>
      <c r="BI4" s="33">
        <f>IF(ModoStress="ON", FactorADR*FactorOcc*FactorLlaves, 1)</f>
        <v>1</v>
      </c>
      <c r="BJ4" s="33">
        <f>IF(ModoStress="ON", FactorADR*FactorOcc*FactorLlaves, 1)</f>
        <v>1</v>
      </c>
      <c r="BK4" s="33">
        <f>IF(ModoStress="ON", FactorADR*FactorOcc*FactorLlaves, 1)</f>
        <v>1</v>
      </c>
      <c r="BL4" s="50"/>
      <c r="BM4" s="50"/>
    </row>
    <row r="5" ht="22.5" customHeight="1">
      <c r="A5" s="27" t="s">
        <v>147</v>
      </c>
      <c r="B5" s="28"/>
      <c r="C5" s="28"/>
      <c r="D5" s="29">
        <f>IF(ModoStress="ON", FactorCosto, 1)</f>
        <v>1</v>
      </c>
      <c r="E5" s="29">
        <f>IF(ModoStress="ON", FactorCosto, 1)</f>
        <v>1</v>
      </c>
      <c r="F5" s="29">
        <f>IF(ModoStress="ON", FactorCosto, 1)</f>
        <v>1</v>
      </c>
      <c r="G5" s="29">
        <f>IF(ModoStress="ON", FactorCosto, 1)</f>
        <v>1</v>
      </c>
      <c r="H5" s="29">
        <f>IF(ModoStress="ON", FactorCosto, 1)</f>
        <v>1</v>
      </c>
      <c r="I5" s="29">
        <f>IF(ModoStress="ON", FactorCosto, 1)</f>
        <v>1</v>
      </c>
      <c r="J5" s="29">
        <f>IF(ModoStress="ON", FactorCosto, 1)</f>
        <v>1</v>
      </c>
      <c r="K5" s="29">
        <f>IF(ModoStress="ON", FactorCosto, 1)</f>
        <v>1</v>
      </c>
      <c r="L5" s="29">
        <f>IF(ModoStress="ON", FactorCosto, 1)</f>
        <v>1</v>
      </c>
      <c r="M5" s="29">
        <f>IF(ModoStress="ON", FactorCosto, 1)</f>
        <v>1</v>
      </c>
      <c r="N5" s="29">
        <f>IF(ModoStress="ON", FactorCosto, 1)</f>
        <v>1</v>
      </c>
      <c r="O5" s="29">
        <f>IF(ModoStress="ON", FactorCosto, 1)</f>
        <v>1</v>
      </c>
      <c r="P5" s="33">
        <f>IF(ModoStress="ON", FactorCosto, 1)</f>
        <v>1</v>
      </c>
      <c r="Q5" s="33">
        <f>IF(ModoStress="ON", FactorCosto, 1)</f>
        <v>1</v>
      </c>
      <c r="R5" s="33">
        <f>IF(ModoStress="ON", FactorCosto, 1)</f>
        <v>1</v>
      </c>
      <c r="S5" s="33">
        <f>IF(ModoStress="ON", FactorCosto, 1)</f>
        <v>1</v>
      </c>
      <c r="T5" s="33">
        <f>IF(ModoStress="ON", FactorCosto, 1)</f>
        <v>1</v>
      </c>
      <c r="U5" s="33">
        <f>IF(ModoStress="ON", FactorCosto, 1)</f>
        <v>1</v>
      </c>
      <c r="V5" s="33">
        <f>IF(ModoStress="ON", FactorCosto, 1)</f>
        <v>1</v>
      </c>
      <c r="W5" s="33">
        <f>IF(ModoStress="ON", FactorCosto, 1)</f>
        <v>1</v>
      </c>
      <c r="X5" s="33">
        <f>IF(ModoStress="ON", FactorCosto, 1)</f>
        <v>1</v>
      </c>
      <c r="Y5" s="33">
        <f>IF(ModoStress="ON", FactorCosto, 1)</f>
        <v>1</v>
      </c>
      <c r="Z5" s="33">
        <f>IF(ModoStress="ON", FactorCosto, 1)</f>
        <v>1</v>
      </c>
      <c r="AA5" s="33">
        <f>IF(ModoStress="ON", FactorCosto, 1)</f>
        <v>1</v>
      </c>
      <c r="AB5" s="33">
        <f>IF(ModoStress="ON", FactorCosto, 1)</f>
        <v>1</v>
      </c>
      <c r="AC5" s="33">
        <f>IF(ModoStress="ON", FactorCosto, 1)</f>
        <v>1</v>
      </c>
      <c r="AD5" s="33">
        <f>IF(ModoStress="ON", FactorCosto, 1)</f>
        <v>1</v>
      </c>
      <c r="AE5" s="33">
        <f>IF(ModoStress="ON", FactorCosto, 1)</f>
        <v>1</v>
      </c>
      <c r="AF5" s="33">
        <f>IF(ModoStress="ON", FactorCosto, 1)</f>
        <v>1</v>
      </c>
      <c r="AG5" s="33">
        <f>IF(ModoStress="ON", FactorCosto, 1)</f>
        <v>1</v>
      </c>
      <c r="AH5" s="33">
        <f>IF(ModoStress="ON", FactorCosto, 1)</f>
        <v>1</v>
      </c>
      <c r="AI5" s="33">
        <f>IF(ModoStress="ON", FactorCosto, 1)</f>
        <v>1</v>
      </c>
      <c r="AJ5" s="33">
        <f>IF(ModoStress="ON", FactorCosto, 1)</f>
        <v>1</v>
      </c>
      <c r="AK5" s="33">
        <f>IF(ModoStress="ON", FactorCosto, 1)</f>
        <v>1</v>
      </c>
      <c r="AL5" s="33">
        <f>IF(ModoStress="ON", FactorCosto, 1)</f>
        <v>1</v>
      </c>
      <c r="AM5" s="33">
        <f>IF(ModoStress="ON", FactorCosto, 1)</f>
        <v>1</v>
      </c>
      <c r="AN5" s="33">
        <f>IF(ModoStress="ON", FactorCosto, 1)</f>
        <v>1</v>
      </c>
      <c r="AO5" s="33">
        <f>IF(ModoStress="ON", FactorCosto, 1)</f>
        <v>1</v>
      </c>
      <c r="AP5" s="33">
        <f>IF(ModoStress="ON", FactorCosto, 1)</f>
        <v>1</v>
      </c>
      <c r="AQ5" s="33">
        <f>IF(ModoStress="ON", FactorCosto, 1)</f>
        <v>1</v>
      </c>
      <c r="AR5" s="33">
        <f>IF(ModoStress="ON", FactorCosto, 1)</f>
        <v>1</v>
      </c>
      <c r="AS5" s="33">
        <f>IF(ModoStress="ON", FactorCosto, 1)</f>
        <v>1</v>
      </c>
      <c r="AT5" s="33">
        <f>IF(ModoStress="ON", FactorCosto, 1)</f>
        <v>1</v>
      </c>
      <c r="AU5" s="33">
        <f>IF(ModoStress="ON", FactorCosto, 1)</f>
        <v>1</v>
      </c>
      <c r="AV5" s="33">
        <f>IF(ModoStress="ON", FactorCosto, 1)</f>
        <v>1</v>
      </c>
      <c r="AW5" s="33">
        <f>IF(ModoStress="ON", FactorCosto, 1)</f>
        <v>1</v>
      </c>
      <c r="AX5" s="33">
        <f>IF(ModoStress="ON", FactorCosto, 1)</f>
        <v>1</v>
      </c>
      <c r="AY5" s="33">
        <f>IF(ModoStress="ON", FactorCosto, 1)</f>
        <v>1</v>
      </c>
      <c r="AZ5" s="33">
        <f>IF(ModoStress="ON", FactorCosto, 1)</f>
        <v>1</v>
      </c>
      <c r="BA5" s="33">
        <f>IF(ModoStress="ON", FactorCosto, 1)</f>
        <v>1</v>
      </c>
      <c r="BB5" s="33">
        <f>IF(ModoStress="ON", FactorCosto, 1)</f>
        <v>1</v>
      </c>
      <c r="BC5" s="33">
        <f>IF(ModoStress="ON", FactorCosto, 1)</f>
        <v>1</v>
      </c>
      <c r="BD5" s="33">
        <f>IF(ModoStress="ON", FactorCosto, 1)</f>
        <v>1</v>
      </c>
      <c r="BE5" s="33">
        <f>IF(ModoStress="ON", FactorCosto, 1)</f>
        <v>1</v>
      </c>
      <c r="BF5" s="33">
        <f>IF(ModoStress="ON", FactorCosto, 1)</f>
        <v>1</v>
      </c>
      <c r="BG5" s="33">
        <f>IF(ModoStress="ON", FactorCosto, 1)</f>
        <v>1</v>
      </c>
      <c r="BH5" s="33">
        <f>IF(ModoStress="ON", FactorCosto, 1)</f>
        <v>1</v>
      </c>
      <c r="BI5" s="33">
        <f>IF(ModoStress="ON", FactorCosto, 1)</f>
        <v>1</v>
      </c>
      <c r="BJ5" s="33">
        <f>IF(ModoStress="ON", FactorCosto, 1)</f>
        <v>1</v>
      </c>
      <c r="BK5" s="33">
        <f>IF(ModoStress="ON", FactorCosto, 1)</f>
        <v>1</v>
      </c>
      <c r="BL5" s="50"/>
      <c r="BM5" s="50"/>
    </row>
    <row r="6" ht="22.5" customHeight="1">
      <c r="A6" s="27" t="s">
        <v>195</v>
      </c>
      <c r="B6" s="28"/>
      <c r="C6" s="28"/>
      <c r="D6" s="29">
        <f>IF(ModoStress="ON", ((1-ChurnNeto)/(1-ChurnBruto))^(YEAR(D$3)-AnioBase), 1)</f>
        <v>1</v>
      </c>
      <c r="E6" s="29">
        <f>IF(ModoStress="ON", ((1-ChurnNeto)/(1-ChurnBruto))^(YEAR(E$3)-AnioBase), 1)</f>
        <v>1</v>
      </c>
      <c r="F6" s="29">
        <f>IF(ModoStress="ON", ((1-ChurnNeto)/(1-ChurnBruto))^(YEAR(F$3)-AnioBase), 1)</f>
        <v>1</v>
      </c>
      <c r="G6" s="29">
        <f>IF(ModoStress="ON", ((1-ChurnNeto)/(1-ChurnBruto))^(YEAR(G$3)-AnioBase), 1)</f>
        <v>1</v>
      </c>
      <c r="H6" s="29">
        <f>IF(ModoStress="ON", ((1-ChurnNeto)/(1-ChurnBruto))^(YEAR(H$3)-AnioBase), 1)</f>
        <v>1</v>
      </c>
      <c r="I6" s="29">
        <f>IF(ModoStress="ON", ((1-ChurnNeto)/(1-ChurnBruto))^(YEAR(I$3)-AnioBase), 1)</f>
        <v>1</v>
      </c>
      <c r="J6" s="29">
        <f>IF(ModoStress="ON", ((1-ChurnNeto)/(1-ChurnBruto))^(YEAR(J$3)-AnioBase), 1)</f>
        <v>1</v>
      </c>
      <c r="K6" s="29">
        <f>IF(ModoStress="ON", ((1-ChurnNeto)/(1-ChurnBruto))^(YEAR(K$3)-AnioBase), 1)</f>
        <v>1</v>
      </c>
      <c r="L6" s="29">
        <f>IF(ModoStress="ON", ((1-ChurnNeto)/(1-ChurnBruto))^(YEAR(L$3)-AnioBase), 1)</f>
        <v>1</v>
      </c>
      <c r="M6" s="29">
        <f>IF(ModoStress="ON", ((1-ChurnNeto)/(1-ChurnBruto))^(YEAR(M$3)-AnioBase), 1)</f>
        <v>1</v>
      </c>
      <c r="N6" s="29">
        <f>IF(ModoStress="ON", ((1-ChurnNeto)/(1-ChurnBruto))^(YEAR(N$3)-AnioBase), 1)</f>
        <v>1</v>
      </c>
      <c r="O6" s="29">
        <f>IF(ModoStress="ON", ((1-ChurnNeto)/(1-ChurnBruto))^(YEAR(O$3)-AnioBase), 1)</f>
        <v>1</v>
      </c>
      <c r="P6" s="33">
        <f>IF(ModoStress="ON", ((1-ChurnNeto)/(1-ChurnBruto))^(YEAR(P$3)-AnioBase), 1)</f>
        <v>1</v>
      </c>
      <c r="Q6" s="33">
        <f>IF(ModoStress="ON", ((1-ChurnNeto)/(1-ChurnBruto))^(YEAR(Q$3)-AnioBase), 1)</f>
        <v>1</v>
      </c>
      <c r="R6" s="33">
        <f>IF(ModoStress="ON", ((1-ChurnNeto)/(1-ChurnBruto))^(YEAR(R$3)-AnioBase), 1)</f>
        <v>1</v>
      </c>
      <c r="S6" s="33">
        <f>IF(ModoStress="ON", ((1-ChurnNeto)/(1-ChurnBruto))^(YEAR(S$3)-AnioBase), 1)</f>
        <v>1</v>
      </c>
      <c r="T6" s="33">
        <f>IF(ModoStress="ON", ((1-ChurnNeto)/(1-ChurnBruto))^(YEAR(T$3)-AnioBase), 1)</f>
        <v>1</v>
      </c>
      <c r="U6" s="33">
        <f>IF(ModoStress="ON", ((1-ChurnNeto)/(1-ChurnBruto))^(YEAR(U$3)-AnioBase), 1)</f>
        <v>1</v>
      </c>
      <c r="V6" s="33">
        <f>IF(ModoStress="ON", ((1-ChurnNeto)/(1-ChurnBruto))^(YEAR(V$3)-AnioBase), 1)</f>
        <v>1</v>
      </c>
      <c r="W6" s="33">
        <f>IF(ModoStress="ON", ((1-ChurnNeto)/(1-ChurnBruto))^(YEAR(W$3)-AnioBase), 1)</f>
        <v>1</v>
      </c>
      <c r="X6" s="33">
        <f>IF(ModoStress="ON", ((1-ChurnNeto)/(1-ChurnBruto))^(YEAR(X$3)-AnioBase), 1)</f>
        <v>1</v>
      </c>
      <c r="Y6" s="33">
        <f>IF(ModoStress="ON", ((1-ChurnNeto)/(1-ChurnBruto))^(YEAR(Y$3)-AnioBase), 1)</f>
        <v>1</v>
      </c>
      <c r="Z6" s="33">
        <f>IF(ModoStress="ON", ((1-ChurnNeto)/(1-ChurnBruto))^(YEAR(Z$3)-AnioBase), 1)</f>
        <v>1</v>
      </c>
      <c r="AA6" s="33">
        <f>IF(ModoStress="ON", ((1-ChurnNeto)/(1-ChurnBruto))^(YEAR(AA$3)-AnioBase), 1)</f>
        <v>1</v>
      </c>
      <c r="AB6" s="33">
        <f>IF(ModoStress="ON", ((1-ChurnNeto)/(1-ChurnBruto))^(YEAR(AB$3)-AnioBase), 1)</f>
        <v>1</v>
      </c>
      <c r="AC6" s="33">
        <f>IF(ModoStress="ON", ((1-ChurnNeto)/(1-ChurnBruto))^(YEAR(AC$3)-AnioBase), 1)</f>
        <v>1</v>
      </c>
      <c r="AD6" s="33">
        <f>IF(ModoStress="ON", ((1-ChurnNeto)/(1-ChurnBruto))^(YEAR(AD$3)-AnioBase), 1)</f>
        <v>1</v>
      </c>
      <c r="AE6" s="33">
        <f>IF(ModoStress="ON", ((1-ChurnNeto)/(1-ChurnBruto))^(YEAR(AE$3)-AnioBase), 1)</f>
        <v>1</v>
      </c>
      <c r="AF6" s="33">
        <f>IF(ModoStress="ON", ((1-ChurnNeto)/(1-ChurnBruto))^(YEAR(AF$3)-AnioBase), 1)</f>
        <v>1</v>
      </c>
      <c r="AG6" s="33">
        <f>IF(ModoStress="ON", ((1-ChurnNeto)/(1-ChurnBruto))^(YEAR(AG$3)-AnioBase), 1)</f>
        <v>1</v>
      </c>
      <c r="AH6" s="33">
        <f>IF(ModoStress="ON", ((1-ChurnNeto)/(1-ChurnBruto))^(YEAR(AH$3)-AnioBase), 1)</f>
        <v>1</v>
      </c>
      <c r="AI6" s="33">
        <f>IF(ModoStress="ON", ((1-ChurnNeto)/(1-ChurnBruto))^(YEAR(AI$3)-AnioBase), 1)</f>
        <v>1</v>
      </c>
      <c r="AJ6" s="33">
        <f>IF(ModoStress="ON", ((1-ChurnNeto)/(1-ChurnBruto))^(YEAR(AJ$3)-AnioBase), 1)</f>
        <v>1</v>
      </c>
      <c r="AK6" s="33">
        <f>IF(ModoStress="ON", ((1-ChurnNeto)/(1-ChurnBruto))^(YEAR(AK$3)-AnioBase), 1)</f>
        <v>1</v>
      </c>
      <c r="AL6" s="33">
        <f>IF(ModoStress="ON", ((1-ChurnNeto)/(1-ChurnBruto))^(YEAR(AL$3)-AnioBase), 1)</f>
        <v>1</v>
      </c>
      <c r="AM6" s="33">
        <f>IF(ModoStress="ON", ((1-ChurnNeto)/(1-ChurnBruto))^(YEAR(AM$3)-AnioBase), 1)</f>
        <v>1</v>
      </c>
      <c r="AN6" s="33">
        <f>IF(ModoStress="ON", ((1-ChurnNeto)/(1-ChurnBruto))^(YEAR(AN$3)-AnioBase), 1)</f>
        <v>1</v>
      </c>
      <c r="AO6" s="33">
        <f>IF(ModoStress="ON", ((1-ChurnNeto)/(1-ChurnBruto))^(YEAR(AO$3)-AnioBase), 1)</f>
        <v>1</v>
      </c>
      <c r="AP6" s="33">
        <f>IF(ModoStress="ON", ((1-ChurnNeto)/(1-ChurnBruto))^(YEAR(AP$3)-AnioBase), 1)</f>
        <v>1</v>
      </c>
      <c r="AQ6" s="33">
        <f>IF(ModoStress="ON", ((1-ChurnNeto)/(1-ChurnBruto))^(YEAR(AQ$3)-AnioBase), 1)</f>
        <v>1</v>
      </c>
      <c r="AR6" s="33">
        <f>IF(ModoStress="ON", ((1-ChurnNeto)/(1-ChurnBruto))^(YEAR(AR$3)-AnioBase), 1)</f>
        <v>1</v>
      </c>
      <c r="AS6" s="33">
        <f>IF(ModoStress="ON", ((1-ChurnNeto)/(1-ChurnBruto))^(YEAR(AS$3)-AnioBase), 1)</f>
        <v>1</v>
      </c>
      <c r="AT6" s="33">
        <f>IF(ModoStress="ON", ((1-ChurnNeto)/(1-ChurnBruto))^(YEAR(AT$3)-AnioBase), 1)</f>
        <v>1</v>
      </c>
      <c r="AU6" s="33">
        <f>IF(ModoStress="ON", ((1-ChurnNeto)/(1-ChurnBruto))^(YEAR(AU$3)-AnioBase), 1)</f>
        <v>1</v>
      </c>
      <c r="AV6" s="33">
        <f>IF(ModoStress="ON", ((1-ChurnNeto)/(1-ChurnBruto))^(YEAR(AV$3)-AnioBase), 1)</f>
        <v>1</v>
      </c>
      <c r="AW6" s="33">
        <f>IF(ModoStress="ON", ((1-ChurnNeto)/(1-ChurnBruto))^(YEAR(AW$3)-AnioBase), 1)</f>
        <v>1</v>
      </c>
      <c r="AX6" s="33">
        <f>IF(ModoStress="ON", ((1-ChurnNeto)/(1-ChurnBruto))^(YEAR(AX$3)-AnioBase), 1)</f>
        <v>1</v>
      </c>
      <c r="AY6" s="33">
        <f>IF(ModoStress="ON", ((1-ChurnNeto)/(1-ChurnBruto))^(YEAR(AY$3)-AnioBase), 1)</f>
        <v>1</v>
      </c>
      <c r="AZ6" s="33">
        <f>IF(ModoStress="ON", ((1-ChurnNeto)/(1-ChurnBruto))^(YEAR(AZ$3)-AnioBase), 1)</f>
        <v>1</v>
      </c>
      <c r="BA6" s="33">
        <f>IF(ModoStress="ON", ((1-ChurnNeto)/(1-ChurnBruto))^(YEAR(BA$3)-AnioBase), 1)</f>
        <v>1</v>
      </c>
      <c r="BB6" s="33">
        <f>IF(ModoStress="ON", ((1-ChurnNeto)/(1-ChurnBruto))^(YEAR(BB$3)-AnioBase), 1)</f>
        <v>1</v>
      </c>
      <c r="BC6" s="33">
        <f>IF(ModoStress="ON", ((1-ChurnNeto)/(1-ChurnBruto))^(YEAR(BC$3)-AnioBase), 1)</f>
        <v>1</v>
      </c>
      <c r="BD6" s="33">
        <f>IF(ModoStress="ON", ((1-ChurnNeto)/(1-ChurnBruto))^(YEAR(BD$3)-AnioBase), 1)</f>
        <v>1</v>
      </c>
      <c r="BE6" s="33">
        <f>IF(ModoStress="ON", ((1-ChurnNeto)/(1-ChurnBruto))^(YEAR(BE$3)-AnioBase), 1)</f>
        <v>1</v>
      </c>
      <c r="BF6" s="33">
        <f>IF(ModoStress="ON", ((1-ChurnNeto)/(1-ChurnBruto))^(YEAR(BF$3)-AnioBase), 1)</f>
        <v>1</v>
      </c>
      <c r="BG6" s="33">
        <f>IF(ModoStress="ON", ((1-ChurnNeto)/(1-ChurnBruto))^(YEAR(BG$3)-AnioBase), 1)</f>
        <v>1</v>
      </c>
      <c r="BH6" s="33">
        <f>IF(ModoStress="ON", ((1-ChurnNeto)/(1-ChurnBruto))^(YEAR(BH$3)-AnioBase), 1)</f>
        <v>1</v>
      </c>
      <c r="BI6" s="33">
        <f>IF(ModoStress="ON", ((1-ChurnNeto)/(1-ChurnBruto))^(YEAR(BI$3)-AnioBase), 1)</f>
        <v>1</v>
      </c>
      <c r="BJ6" s="33">
        <f>IF(ModoStress="ON", ((1-ChurnNeto)/(1-ChurnBruto))^(YEAR(BJ$3)-AnioBase), 1)</f>
        <v>1</v>
      </c>
      <c r="BK6" s="33">
        <f>IF(ModoStress="ON", ((1-ChurnNeto)/(1-ChurnBruto))^(YEAR(BK$3)-AnioBase), 1)</f>
        <v>1</v>
      </c>
      <c r="BL6" s="50"/>
      <c r="BM6" s="50"/>
    </row>
    <row r="7" ht="22.5" customHeight="1">
      <c r="A7" s="27" t="s">
        <v>214</v>
      </c>
      <c r="B7" s="28"/>
      <c r="C7" s="28"/>
      <c r="D7" s="68">
        <f t="shared" ref="D7:BK7" si="2">IFERROR(D8+D13,"Revise Error")</f>
        <v>1000411.721</v>
      </c>
      <c r="E7" s="68">
        <f t="shared" si="2"/>
        <v>1047043.801</v>
      </c>
      <c r="F7" s="68">
        <f t="shared" si="2"/>
        <v>1066178.492</v>
      </c>
      <c r="G7" s="68">
        <f t="shared" si="2"/>
        <v>1013043.526</v>
      </c>
      <c r="H7" s="68">
        <f t="shared" si="2"/>
        <v>1037075.951</v>
      </c>
      <c r="I7" s="68">
        <f t="shared" si="2"/>
        <v>1035263.922</v>
      </c>
      <c r="J7" s="68">
        <f t="shared" si="2"/>
        <v>1090332.018</v>
      </c>
      <c r="K7" s="68">
        <f t="shared" si="2"/>
        <v>1084090.541</v>
      </c>
      <c r="L7" s="68">
        <f t="shared" si="2"/>
        <v>932159.9421</v>
      </c>
      <c r="M7" s="68">
        <f t="shared" si="2"/>
        <v>896455.2378</v>
      </c>
      <c r="N7" s="68">
        <f t="shared" si="2"/>
        <v>1086516.021</v>
      </c>
      <c r="O7" s="68">
        <f t="shared" si="2"/>
        <v>994168.6331</v>
      </c>
      <c r="P7" s="50">
        <f t="shared" si="2"/>
        <v>978002.4986</v>
      </c>
      <c r="Q7" s="50">
        <f t="shared" si="2"/>
        <v>1023590.019</v>
      </c>
      <c r="R7" s="50">
        <f t="shared" si="2"/>
        <v>1042296.094</v>
      </c>
      <c r="S7" s="50">
        <f t="shared" si="2"/>
        <v>990351.3506</v>
      </c>
      <c r="T7" s="50">
        <f t="shared" si="2"/>
        <v>1013845.45</v>
      </c>
      <c r="U7" s="50">
        <f t="shared" si="2"/>
        <v>1012074.01</v>
      </c>
      <c r="V7" s="50">
        <f t="shared" si="2"/>
        <v>1065908.58</v>
      </c>
      <c r="W7" s="50">
        <f t="shared" si="2"/>
        <v>1059806.912</v>
      </c>
      <c r="X7" s="50">
        <f t="shared" si="2"/>
        <v>911279.5594</v>
      </c>
      <c r="Y7" s="50">
        <f t="shared" si="2"/>
        <v>876374.6405</v>
      </c>
      <c r="Z7" s="50">
        <f t="shared" si="2"/>
        <v>1062178.062</v>
      </c>
      <c r="AA7" s="50">
        <f t="shared" si="2"/>
        <v>971899.2557</v>
      </c>
      <c r="AB7" s="50">
        <f t="shared" si="2"/>
        <v>956095.2426</v>
      </c>
      <c r="AC7" s="50">
        <f t="shared" si="2"/>
        <v>1000661.603</v>
      </c>
      <c r="AD7" s="50">
        <f t="shared" si="2"/>
        <v>1018948.661</v>
      </c>
      <c r="AE7" s="50">
        <f t="shared" si="2"/>
        <v>968167.4803</v>
      </c>
      <c r="AF7" s="50">
        <f t="shared" si="2"/>
        <v>991135.312</v>
      </c>
      <c r="AG7" s="50">
        <f t="shared" si="2"/>
        <v>989403.5519</v>
      </c>
      <c r="AH7" s="50">
        <f t="shared" si="2"/>
        <v>1042032.228</v>
      </c>
      <c r="AI7" s="50">
        <f t="shared" si="2"/>
        <v>1036067.238</v>
      </c>
      <c r="AJ7" s="50">
        <f t="shared" si="2"/>
        <v>890866.8972</v>
      </c>
      <c r="AK7" s="50">
        <f t="shared" si="2"/>
        <v>856743.8485</v>
      </c>
      <c r="AL7" s="50">
        <f t="shared" si="2"/>
        <v>1038385.273</v>
      </c>
      <c r="AM7" s="50">
        <f t="shared" si="2"/>
        <v>950128.7124</v>
      </c>
      <c r="AN7" s="50">
        <f t="shared" si="2"/>
        <v>934678.7092</v>
      </c>
      <c r="AO7" s="50">
        <f t="shared" si="2"/>
        <v>1013184.168</v>
      </c>
      <c r="AP7" s="50">
        <f t="shared" si="2"/>
        <v>995955.3609</v>
      </c>
      <c r="AQ7" s="50">
        <f t="shared" si="2"/>
        <v>946320.0934</v>
      </c>
      <c r="AR7" s="50">
        <f t="shared" si="2"/>
        <v>968769.6397</v>
      </c>
      <c r="AS7" s="50">
        <f t="shared" si="2"/>
        <v>967076.958</v>
      </c>
      <c r="AT7" s="50">
        <f t="shared" si="2"/>
        <v>1018518.031</v>
      </c>
      <c r="AU7" s="50">
        <f t="shared" si="2"/>
        <v>1012687.644</v>
      </c>
      <c r="AV7" s="50">
        <f t="shared" si="2"/>
        <v>870763.8529</v>
      </c>
      <c r="AW7" s="50">
        <f t="shared" si="2"/>
        <v>837410.815</v>
      </c>
      <c r="AX7" s="50">
        <f t="shared" si="2"/>
        <v>1014953.372</v>
      </c>
      <c r="AY7" s="50">
        <f t="shared" si="2"/>
        <v>928688.3831</v>
      </c>
      <c r="AZ7" s="50">
        <f t="shared" si="2"/>
        <v>913587.0202</v>
      </c>
      <c r="BA7" s="50">
        <f t="shared" si="2"/>
        <v>956171.9495</v>
      </c>
      <c r="BB7" s="50">
        <f t="shared" si="2"/>
        <v>973645.9609</v>
      </c>
      <c r="BC7" s="50">
        <f t="shared" si="2"/>
        <v>925122.5233</v>
      </c>
      <c r="BD7" s="50">
        <f t="shared" si="2"/>
        <v>947069.1998</v>
      </c>
      <c r="BE7" s="50">
        <f t="shared" si="2"/>
        <v>945414.4341</v>
      </c>
      <c r="BF7" s="50">
        <f t="shared" si="2"/>
        <v>995703.2269</v>
      </c>
      <c r="BG7" s="50">
        <f t="shared" si="2"/>
        <v>990003.4412</v>
      </c>
      <c r="BH7" s="50">
        <f t="shared" si="2"/>
        <v>851258.7426</v>
      </c>
      <c r="BI7" s="50">
        <f t="shared" si="2"/>
        <v>818652.8127</v>
      </c>
      <c r="BJ7" s="50">
        <f t="shared" si="2"/>
        <v>992218.4163</v>
      </c>
      <c r="BK7" s="50">
        <f t="shared" si="2"/>
        <v>907885.7633</v>
      </c>
      <c r="BL7" s="50">
        <f t="shared" ref="BL7:BL8" si="3">SUM(D7:BK7)</f>
        <v>58754722.8</v>
      </c>
      <c r="BM7" s="50">
        <f t="shared" ref="BM7:BM8" si="4">AVERAGE(D7:BK7)</f>
        <v>979245.38</v>
      </c>
    </row>
    <row r="8" ht="22.5" customHeight="1" outlineLevel="1">
      <c r="A8" s="69"/>
      <c r="B8" s="70" t="s">
        <v>218</v>
      </c>
      <c r="C8" s="71"/>
      <c r="D8" s="72">
        <f>IFERROR(__xludf.DUMMYFUNCTION("IFERROR(IMPORTRANGE(""https://docs.google.com/spreadsheets/d/10OcXjkVvXdQ20Dikey2wLwZD9Qs97Ke_ckzbHR2FA6E/edit?usp=sharing"", ""P1!E"" &amp; FilaVentaEsc &amp; "":BL"" &amp; FilaVentaEsc))"),584744.4227656598)</f>
        <v>584744.4228</v>
      </c>
      <c r="E8" s="72">
        <f>IFERROR(__xludf.DUMMYFUNCTION("""COMPUTED_VALUE"""),632467.9730076719)</f>
        <v>632467.973</v>
      </c>
      <c r="F8" s="72">
        <f>IFERROR(__xludf.DUMMYFUNCTION("""COMPUTED_VALUE"""),562671.2386455302)</f>
        <v>562671.2386</v>
      </c>
      <c r="G8" s="72">
        <f>IFERROR(__xludf.DUMMYFUNCTION("""COMPUTED_VALUE"""),606607.4703135559)</f>
        <v>606607.4703</v>
      </c>
      <c r="H8" s="72">
        <f>IFERROR(__xludf.DUMMYFUNCTION("""COMPUTED_VALUE"""),621981.6067745518)</f>
        <v>621981.6068</v>
      </c>
      <c r="I8" s="72">
        <f>IFERROR(__xludf.DUMMYFUNCTION("""COMPUTED_VALUE"""),622790.5486921028)</f>
        <v>622790.5487</v>
      </c>
      <c r="J8" s="72">
        <f>IFERROR(__xludf.DUMMYFUNCTION("""COMPUTED_VALUE"""),620667.8985979322)</f>
        <v>620667.8986</v>
      </c>
      <c r="K8" s="72">
        <f>IFERROR(__xludf.DUMMYFUNCTION("""COMPUTED_VALUE"""),599013.773384289)</f>
        <v>599013.7734</v>
      </c>
      <c r="L8" s="72">
        <f>IFERROR(__xludf.DUMMYFUNCTION("""COMPUTED_VALUE"""),582469.4162353423)</f>
        <v>582469.4162</v>
      </c>
      <c r="M8" s="72">
        <f>IFERROR(__xludf.DUMMYFUNCTION("""COMPUTED_VALUE"""),564299.5817159889)</f>
        <v>564299.5817</v>
      </c>
      <c r="N8" s="72">
        <f>IFERROR(__xludf.DUMMYFUNCTION("""COMPUTED_VALUE"""),629444.6701355868)</f>
        <v>629444.6701</v>
      </c>
      <c r="O8" s="72">
        <f>IFERROR(__xludf.DUMMYFUNCTION("""COMPUTED_VALUE"""),594748.7661271)</f>
        <v>594748.7661</v>
      </c>
      <c r="P8" s="73">
        <f>IFERROR(__xludf.DUMMYFUNCTION("""COMPUTED_VALUE"""),571646.1476957088)</f>
        <v>571646.1477</v>
      </c>
      <c r="Q8" s="73">
        <f>IFERROR(__xludf.DUMMYFUNCTION("""COMPUTED_VALUE"""),618300.6904123)</f>
        <v>618300.6904</v>
      </c>
      <c r="R8" s="73">
        <f>IFERROR(__xludf.DUMMYFUNCTION("""COMPUTED_VALUE"""),550067.4028998703)</f>
        <v>550067.4029</v>
      </c>
      <c r="S8" s="73">
        <f>IFERROR(__xludf.DUMMYFUNCTION("""COMPUTED_VALUE"""),593019.4629785322)</f>
        <v>593019.463</v>
      </c>
      <c r="T8" s="73">
        <f>IFERROR(__xludf.DUMMYFUNCTION("""COMPUTED_VALUE"""),608049.2187828018)</f>
        <v>608049.2188</v>
      </c>
      <c r="U8" s="73">
        <f>IFERROR(__xludf.DUMMYFUNCTION("""COMPUTED_VALUE"""),608840.0404013997)</f>
        <v>608840.0404</v>
      </c>
      <c r="V8" s="73">
        <f>IFERROR(__xludf.DUMMYFUNCTION("""COMPUTED_VALUE"""),606764.9376693384)</f>
        <v>606764.9377</v>
      </c>
      <c r="W8" s="73">
        <f>IFERROR(__xludf.DUMMYFUNCTION("""COMPUTED_VALUE"""),585595.864860481)</f>
        <v>585595.8649</v>
      </c>
      <c r="X8" s="72">
        <f>IFERROR(__xludf.DUMMYFUNCTION("""COMPUTED_VALUE"""),569422.1013116706)</f>
        <v>569422.1013</v>
      </c>
      <c r="Y8" s="72">
        <f>IFERROR(__xludf.DUMMYFUNCTION("""COMPUTED_VALUE"""),551659.2710855508)</f>
        <v>551659.2711</v>
      </c>
      <c r="Z8" s="72">
        <f>IFERROR(__xludf.DUMMYFUNCTION("""COMPUTED_VALUE"""),615345.1095245496)</f>
        <v>615345.1095</v>
      </c>
      <c r="AA8" s="72">
        <f>IFERROR(__xludf.DUMMYFUNCTION("""COMPUTED_VALUE"""),581426.3937658529)</f>
        <v>581426.3938</v>
      </c>
      <c r="AB8" s="72">
        <f>IFERROR(__xludf.DUMMYFUNCTION("""COMPUTED_VALUE"""),558841.2739873251)</f>
        <v>558841.274</v>
      </c>
      <c r="AC8" s="72">
        <f>IFERROR(__xludf.DUMMYFUNCTION("""COMPUTED_VALUE"""),604450.7549470644)</f>
        <v>604450.7549</v>
      </c>
      <c r="AD8" s="72">
        <f>IFERROR(__xludf.DUMMYFUNCTION("""COMPUTED_VALUE"""),537745.8930749132)</f>
        <v>537745.8931</v>
      </c>
      <c r="AE8" s="72">
        <f>IFERROR(__xludf.DUMMYFUNCTION("""COMPUTED_VALUE"""),579735.8270078131)</f>
        <v>579735.827</v>
      </c>
      <c r="AF8" s="72">
        <f>IFERROR(__xludf.DUMMYFUNCTION("""COMPUTED_VALUE"""),594428.916282067)</f>
        <v>594428.9163</v>
      </c>
      <c r="AG8" s="72">
        <f>IFERROR(__xludf.DUMMYFUNCTION("""COMPUTED_VALUE"""),595202.0234964084)</f>
        <v>595202.0235</v>
      </c>
      <c r="AH8" s="72">
        <f>IFERROR(__xludf.DUMMYFUNCTION("""COMPUTED_VALUE"""),593173.4030655453)</f>
        <v>593173.4031</v>
      </c>
      <c r="AI8" s="72">
        <f>IFERROR(__xludf.DUMMYFUNCTION("""COMPUTED_VALUE"""),572478.517487606)</f>
        <v>572478.5175</v>
      </c>
      <c r="AJ8" s="72">
        <f>IFERROR(__xludf.DUMMYFUNCTION("""COMPUTED_VALUE"""),556667.0462422892)</f>
        <v>556667.0462</v>
      </c>
      <c r="AK8" s="72">
        <f>IFERROR(__xludf.DUMMYFUNCTION("""COMPUTED_VALUE"""),539302.1034132345)</f>
        <v>539302.1034</v>
      </c>
      <c r="AL8" s="72">
        <f>IFERROR(__xludf.DUMMYFUNCTION("""COMPUTED_VALUE"""),601561.3790711998)</f>
        <v>601561.3791</v>
      </c>
      <c r="AM8" s="72">
        <f>IFERROR(__xludf.DUMMYFUNCTION("""COMPUTED_VALUE"""),568402.4425454979)</f>
        <v>568402.4425</v>
      </c>
      <c r="AN8" s="72">
        <f>IFERROR(__xludf.DUMMYFUNCTION("""COMPUTED_VALUE"""),546323.229450009)</f>
        <v>546323.2295</v>
      </c>
      <c r="AO8" s="72">
        <f>IFERROR(__xludf.DUMMYFUNCTION("""COMPUTED_VALUE"""),612015.0243946877)</f>
        <v>612015.0244</v>
      </c>
      <c r="AP8" s="72">
        <f>IFERROR(__xludf.DUMMYFUNCTION("""COMPUTED_VALUE"""),525611.2750244924)</f>
        <v>525611.275</v>
      </c>
      <c r="AQ8" s="72">
        <f>IFERROR(__xludf.DUMMYFUNCTION("""COMPUTED_VALUE"""),566653.6762717877)</f>
        <v>566653.6763</v>
      </c>
      <c r="AR8" s="72">
        <f>IFERROR(__xludf.DUMMYFUNCTION("""COMPUTED_VALUE"""),581015.2055497313)</f>
        <v>581015.2055</v>
      </c>
      <c r="AS8" s="72">
        <f>IFERROR(__xludf.DUMMYFUNCTION("""COMPUTED_VALUE"""),581770.8670506254)</f>
        <v>581770.8671</v>
      </c>
      <c r="AT8" s="72">
        <f>IFERROR(__xludf.DUMMYFUNCTION("""COMPUTED_VALUE"""),579788.0238807601)</f>
        <v>579788.0239</v>
      </c>
      <c r="AU8" s="72">
        <f>IFERROR(__xludf.DUMMYFUNCTION("""COMPUTED_VALUE"""),559560.133095937)</f>
        <v>559560.1331</v>
      </c>
      <c r="AV8" s="72">
        <f>IFERROR(__xludf.DUMMYFUNCTION("""COMPUTED_VALUE"""),544105.4589305196)</f>
        <v>544105.4589</v>
      </c>
      <c r="AW8" s="72">
        <f>IFERROR(__xludf.DUMMYFUNCTION("""COMPUTED_VALUE"""),527132.3683711179)</f>
        <v>527132.3684</v>
      </c>
      <c r="AX8" s="72">
        <f>IFERROR(__xludf.DUMMYFUNCTION("""COMPUTED_VALUE"""),587986.719249676)</f>
        <v>587986.7192</v>
      </c>
      <c r="AY8" s="72">
        <f>IFERROR(__xludf.DUMMYFUNCTION("""COMPUTED_VALUE"""),555576.0376802264)</f>
        <v>555576.0377</v>
      </c>
      <c r="AZ8" s="72">
        <f>IFERROR(__xludf.DUMMYFUNCTION("""COMPUTED_VALUE"""),533995.0577116064)</f>
        <v>533995.0577</v>
      </c>
      <c r="BA8" s="72">
        <f>IFERROR(__xludf.DUMMYFUNCTION("""COMPUTED_VALUE"""),577576.7302740464)</f>
        <v>577576.7303</v>
      </c>
      <c r="BB8" s="72">
        <f>IFERROR(__xludf.DUMMYFUNCTION("""COMPUTED_VALUE"""),513837.58246394387)</f>
        <v>513837.5825</v>
      </c>
      <c r="BC8" s="72">
        <f>IFERROR(__xludf.DUMMYFUNCTION("""COMPUTED_VALUE"""),553960.6339232996)</f>
        <v>553960.6339</v>
      </c>
      <c r="BD8" s="72">
        <f>IFERROR(__xludf.DUMMYFUNCTION("""COMPUTED_VALUE"""),568000.4649454176)</f>
        <v>568000.4649</v>
      </c>
      <c r="BE8" s="72">
        <f>IFERROR(__xludf.DUMMYFUNCTION("""COMPUTED_VALUE"""),568739.1996286915)</f>
        <v>568739.1996</v>
      </c>
      <c r="BF8" s="72">
        <f>IFERROR(__xludf.DUMMYFUNCTION("""COMPUTED_VALUE"""),566800.772145831)</f>
        <v>566800.7721</v>
      </c>
      <c r="BG8" s="72">
        <f>IFERROR(__xludf.DUMMYFUNCTION("""COMPUTED_VALUE"""),547025.986114588)</f>
        <v>547025.9861</v>
      </c>
      <c r="BH8" s="72">
        <f>IFERROR(__xludf.DUMMYFUNCTION("""COMPUTED_VALUE"""),531917.4966504759)</f>
        <v>531917.4967</v>
      </c>
      <c r="BI8" s="72">
        <f>IFERROR(__xludf.DUMMYFUNCTION("""COMPUTED_VALUE"""),515324.6033196048)</f>
        <v>515324.6033</v>
      </c>
      <c r="BJ8" s="72">
        <f>IFERROR(__xludf.DUMMYFUNCTION("""COMPUTED_VALUE"""),574815.8167384833)</f>
        <v>574815.8167</v>
      </c>
      <c r="BK8" s="72">
        <f>IFERROR(__xludf.DUMMYFUNCTION("""COMPUTED_VALUE"""),543131.1344361893)</f>
        <v>543131.1344</v>
      </c>
      <c r="BL8" s="72">
        <f t="shared" si="3"/>
        <v>34546697.09</v>
      </c>
      <c r="BM8" s="72">
        <f t="shared" si="4"/>
        <v>575778.2848</v>
      </c>
    </row>
    <row r="9" ht="22.5" customHeight="1" outlineLevel="2">
      <c r="A9" s="74"/>
      <c r="B9" s="75"/>
      <c r="C9" s="76" t="s">
        <v>221</v>
      </c>
      <c r="D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MATCH(D3,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""Unknown""))"),24.7)</f>
        <v>24.7</v>
      </c>
      <c r="E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MATCH(E3,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""Unknown""))"),24.5705377406331)</f>
        <v>24.57053774</v>
      </c>
      <c r="F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MATCH(F3,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""Unknown""))"),24.45418742411264)</f>
        <v>24.45418742</v>
      </c>
      <c r="G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MATCH(G3,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""Unknown""))"),24.32601356359008)</f>
        <v>24.32601356</v>
      </c>
      <c r="H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MATCH(H3,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""Unknown""))"),24.20261403129571)</f>
        <v>24.20261403</v>
      </c>
      <c r="I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MATCH(I3,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""Unknown""))"),24.07575876428856)</f>
        <v>24.07575876</v>
      </c>
      <c r="J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MATCH(J3,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""Unknown""))"),23.953628709424493)</f>
        <v>23.95362871</v>
      </c>
      <c r="K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MATCH(K3,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""Unknown""))"),23.8280784708513)</f>
        <v>23.82807847</v>
      </c>
      <c r="L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MATCH(L3,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""Unknown""))"),23.703186289668782)</f>
        <v>23.70318629</v>
      </c>
      <c r="M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MATCH(M3,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""Unknown""))"),23.582946197950285)</f>
        <v>23.5829462</v>
      </c>
      <c r="N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MATCH(N3,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""Unknown""))"),23.45933884988087)</f>
        <v>23.45933885</v>
      </c>
      <c r="O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MATCH(O3,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""Unknown""))"),23.34033573272634)</f>
        <v>23.34033573</v>
      </c>
      <c r="P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MATCH(P3,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""Unknown""))"),23.217999999999996)</f>
        <v>23.218</v>
      </c>
      <c r="Q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MATCH(Q3,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""Unknown""))"),23.096305476195113)</f>
        <v>23.09630548</v>
      </c>
      <c r="R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MATCH(R3,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""Unknown""))"),22.98693617866588)</f>
        <v>22.98693618</v>
      </c>
      <c r="S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MATCH(S3,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""Unknown""))"),22.866452749774673)</f>
        <v>22.86645275</v>
      </c>
      <c r="T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MATCH(T3,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""Unknown""))"),22.750457189417965)</f>
        <v>22.75045719</v>
      </c>
      <c r="U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MATCH(U3,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""Unknown""))"),22.631213238431247)</f>
        <v>22.63121324</v>
      </c>
      <c r="V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MATCH(V3,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""Unknown""))"),22.51641098685902)</f>
        <v>22.51641099</v>
      </c>
      <c r="W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MATCH(W3,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""Unknown""))"),22.39839376260022)</f>
        <v>22.39839376</v>
      </c>
      <c r="X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MATCH(X3,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""Unknown""))"),22.280995112288654)</f>
        <v>22.28099511</v>
      </c>
      <c r="Y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MATCH(Y3,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""Unknown""))"),22.16796942607327)</f>
        <v>22.16796943</v>
      </c>
      <c r="Z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MATCH(Z3, IMPORTRANGE(""https://docs.google.com/spreadsheets/d/10OcXjkVvXdQ20Dikey2wLwZD9Qs97Ke_ckzbHR2FA6E/edit?usp=sharing"", ""P1!$E$4:$BL$4""), 0)), ""Unknown""), 
IF(IMPORTRANGE(""https://docs.google."&amp;"com/spreadsheets/d/10OcXjkVvXdQ20Dikey2wLwZD9Qs97Ke_ckzbHR2FA6E/edit?usp=sharing"", ""P1!$B$11"")=2, 0, ""Unknown""))"),22.051778518888014)</f>
        <v>22.05177852</v>
      </c>
      <c r="AA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MATCH(AA3,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""Unknown""))"),21.93991558876276)</f>
        <v>21.93991559</v>
      </c>
      <c r="AB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MATCH(AB3,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""Unknown""))"),21.82492)</f>
        <v>21.82492</v>
      </c>
      <c r="AC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MATCH(AC3,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""Unknown""))"),21.710527147623406)</f>
        <v>21.71052715</v>
      </c>
      <c r="AD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MATCH(AD3,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""Unknown""))"),21.607720007945925)</f>
        <v>21.60772001</v>
      </c>
      <c r="AE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MATCH(AE3,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""Unknown""))"),21.494465584788195)</f>
        <v>21.49446558</v>
      </c>
      <c r="AF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MATCH(AF3,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""Unknown""))"),21.385429758052886)</f>
        <v>21.38542976</v>
      </c>
      <c r="AG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MATCH(AG3,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""Unknown""))"),21.27334044412537)</f>
        <v>21.27334044</v>
      </c>
      <c r="AH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MATCH(AH3,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""Unknown""))"),21.16542632764748)</f>
        <v>21.16542633</v>
      </c>
      <c r="AI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MATCH(AI3,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""Unknown""))"),21.054490136844205)</f>
        <v>21.05449014</v>
      </c>
      <c r="AJ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MATCH(AJ3,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""Unknown""))"),20.944135405551336)</f>
        <v>20.94413541</v>
      </c>
      <c r="AK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MATCH(AK3,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""Unknown""))"),20.837891260508872)</f>
        <v>20.83789126</v>
      </c>
      <c r="AL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MATCH(AL3,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""Unknown""))"),20.728671807754733)</f>
        <v>20.72867181</v>
      </c>
      <c r="AM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MATCH(AM3,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""Unknown""))"),20.623520653436994)</f>
        <v>20.62352065</v>
      </c>
      <c r="AN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MATCH(AN3,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""Unknown""))"),20.515424799999998)</f>
        <v>20.5154248</v>
      </c>
      <c r="AO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MATCH(AO3,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""Unknown""))"),20.407895518766)</f>
        <v>20.40789552</v>
      </c>
      <c r="AP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MATCH(AP3,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""Unknown""))"),20.307813901451702)</f>
        <v>20.3078139</v>
      </c>
      <c r="AQ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MATCH(AQ3,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""Unknown""))"),20.201372789286342)</f>
        <v>20.20137279</v>
      </c>
      <c r="AR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MATCH(AR3,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""Unknown""))"),20.098896485580198)</f>
        <v>20.09889649</v>
      </c>
      <c r="AS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MATCH(AS3,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""Unknown""))"),19.993550390446412)</f>
        <v>19.99355039</v>
      </c>
      <c r="AT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MATCH(AT3,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""Unknown""))"),19.89212831565246)</f>
        <v>19.89212832</v>
      </c>
      <c r="AU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MATCH(AU3,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""Unknown""))"),19.787865972520454)</f>
        <v>19.78786597</v>
      </c>
      <c r="AV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MATCH(AV3,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""Unknown""))"),19.6841501086803)</f>
        <v>19.68415011</v>
      </c>
      <c r="AW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MATCH(AW3,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""Unknown""))"),19.584297540947667)</f>
        <v>19.58429754</v>
      </c>
      <c r="AX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MATCH(AX3,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""Unknown""))"),19.48164865804221)</f>
        <v>19.48164866</v>
      </c>
      <c r="AY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MATCH(AY3,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""Unknown""))"),19.38282332743712)</f>
        <v>19.38282333</v>
      </c>
      <c r="AZ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MATCH(AZ3,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""Unknown""))"),19.281230448859006)</f>
        <v>19.28123045</v>
      </c>
      <c r="BA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MATCH(BA3,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""Unknown""))"),19.180170057875884)</f>
        <v>19.18017006</v>
      </c>
      <c r="BB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MATCH(BB3,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""Unknown""))"),19.0893450673646)</f>
        <v>19.08934507</v>
      </c>
      <c r="BC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MATCH(BC3,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""Unknown""))"),18.98929042192916)</f>
        <v>18.98929042</v>
      </c>
      <c r="BD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MATCH(BD3,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""Unknown""))"),18.89296269644539)</f>
        <v>18.8929627</v>
      </c>
      <c r="BE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MATCH(BE3,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""Unknown""))"),18.793937367019627)</f>
        <v>18.79393737</v>
      </c>
      <c r="BF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MATCH(BF3,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""Unknown""))"),18.69860061671331)</f>
        <v>18.69860062</v>
      </c>
      <c r="BG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MATCH(BG3,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""Unknown""))"),18.600594014169225)</f>
        <v>18.60059401</v>
      </c>
      <c r="BH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MATCH(BH3,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""Unknown""))"),18.503101102159476)</f>
        <v>18.5031011</v>
      </c>
      <c r="BI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MATCH(BI3,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""Unknown""))"),18.409239688490803)</f>
        <v>18.40923969</v>
      </c>
      <c r="BJ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MATCH(BJ3,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""Unknown""))"),18.312749738559678)</f>
        <v>18.31274974</v>
      </c>
      <c r="BK9" s="77">
        <f>IFERROR(__xludf.DUMMYFUNCTION("IF(IMPORTRANGE(""https://docs.google.com/spreadsheets/d/10OcXjkVvXdQ20Dikey2wLwZD9Qs97Ke_ckzbHR2FA6E/edit?usp=sharing"", ""P1!$B$11"")=1, 
    IFERROR(INDEX(IMPORTRANGE(""https://docs.google.com/spreadsheets/d/10OcXjkVvXdQ20Dikey2wLwZD9Qs97Ke_ckzbHR2FA6E/"&amp;"edit?usp=sharing"", ""P1!$E$6:$BL$6""), 
         MATCH(BK3, IMPORTRANGE(""https://docs.google.com/spreadsheets/d/10OcXjkVvXdQ20Dikey2wLwZD9Qs97Ke_ckzbHR2FA6E/edit?usp=sharing"", ""P1!$E$4:$BL$4""), 0)), ""Unknown""), 
IF(IMPORTRANGE(""https://docs.google"&amp;".com/spreadsheets/d/10OcXjkVvXdQ20Dikey2wLwZD9Qs97Ke_ckzbHR2FA6E/edit?usp=sharing"", ""P1!$B$11"")=2, 0, ""Unknown""))"),18.219853927790894)</f>
        <v>18.21985393</v>
      </c>
      <c r="BL9" s="97">
        <f t="shared" ref="BL9:BL12" si="5">AVERAGE(D9:BK9)</f>
        <v>21.30101559</v>
      </c>
    </row>
    <row r="10" ht="22.5" customHeight="1" outlineLevel="2">
      <c r="A10" s="74"/>
      <c r="B10" s="75"/>
      <c r="C10" s="76" t="s">
        <v>262</v>
      </c>
      <c r="D10" s="102">
        <f>IFERROR(__xludf.DUMMYFUNCTION("IMPORTRANGE(""10OcXjkVvXdQ20Dikey2wLwZD9Qs97Ke_ckzbHR2FA6E"",""P1!E14:BL14"")"),0.5700161290322582)</f>
        <v>0.570016129</v>
      </c>
      <c r="E10" s="102">
        <f>IFERROR(__xludf.DUMMYFUNCTION("""COMPUTED_VALUE"""),0.6813214285714286)</f>
        <v>0.6813214286</v>
      </c>
      <c r="F10" s="102">
        <f>IFERROR(__xludf.DUMMYFUNCTION("""COMPUTED_VALUE"""),0.6134516129032258)</f>
        <v>0.6134516129</v>
      </c>
      <c r="G10" s="102">
        <f>IFERROR(__xludf.DUMMYFUNCTION("""COMPUTED_VALUE"""),0.6785333333333331)</f>
        <v>0.6785333333</v>
      </c>
      <c r="H10" s="102">
        <f>IFERROR(__xludf.DUMMYFUNCTION("""COMPUTED_VALUE"""),0.6939193548387097)</f>
        <v>0.6939193548</v>
      </c>
      <c r="I10" s="102">
        <f>IFERROR(__xludf.DUMMYFUNCTION("""COMPUTED_VALUE"""),0.6986666666666665)</f>
        <v>0.6986666667</v>
      </c>
      <c r="J10" s="102">
        <f>IFERROR(__xludf.DUMMYFUNCTION("""COMPUTED_VALUE"""),0.6928548387096773)</f>
        <v>0.6928548387</v>
      </c>
      <c r="K10" s="102">
        <f>IFERROR(__xludf.DUMMYFUNCTION("""COMPUTED_VALUE"""),0.6455483870967743)</f>
        <v>0.6455483871</v>
      </c>
      <c r="L10" s="102">
        <f>IFERROR(__xludf.DUMMYFUNCTION("""COMPUTED_VALUE"""),0.6595166666666665)</f>
        <v>0.6595166667</v>
      </c>
      <c r="M10" s="102">
        <f>IFERROR(__xludf.DUMMYFUNCTION("""COMPUTED_VALUE"""),0.6066935483870967)</f>
        <v>0.6066935484</v>
      </c>
      <c r="N10" s="102">
        <f>IFERROR(__xludf.DUMMYFUNCTION("""COMPUTED_VALUE"""),0.66905)</f>
        <v>0.66905</v>
      </c>
      <c r="O10" s="102">
        <f>IFERROR(__xludf.DUMMYFUNCTION("""COMPUTED_VALUE"""),0.6060806451612902)</f>
        <v>0.6060806452</v>
      </c>
      <c r="P10" s="109">
        <f>IFERROR(__xludf.DUMMYFUNCTION("""COMPUTED_VALUE"""),0.5700161290322582)</f>
        <v>0.570016129</v>
      </c>
      <c r="Q10" s="109">
        <f>IFERROR(__xludf.DUMMYFUNCTION("""COMPUTED_VALUE"""),0.6813214285714286)</f>
        <v>0.6813214286</v>
      </c>
      <c r="R10" s="109">
        <f>IFERROR(__xludf.DUMMYFUNCTION("""COMPUTED_VALUE"""),0.6134516129032258)</f>
        <v>0.6134516129</v>
      </c>
      <c r="S10" s="109">
        <f>IFERROR(__xludf.DUMMYFUNCTION("""COMPUTED_VALUE"""),0.6785333333333331)</f>
        <v>0.6785333333</v>
      </c>
      <c r="T10" s="109">
        <f>IFERROR(__xludf.DUMMYFUNCTION("""COMPUTED_VALUE"""),0.6939193548387097)</f>
        <v>0.6939193548</v>
      </c>
      <c r="U10" s="109">
        <f>IFERROR(__xludf.DUMMYFUNCTION("""COMPUTED_VALUE"""),0.6986666666666665)</f>
        <v>0.6986666667</v>
      </c>
      <c r="V10" s="109">
        <f>IFERROR(__xludf.DUMMYFUNCTION("""COMPUTED_VALUE"""),0.6928548387096773)</f>
        <v>0.6928548387</v>
      </c>
      <c r="W10" s="109">
        <f>IFERROR(__xludf.DUMMYFUNCTION("""COMPUTED_VALUE"""),0.6455483870967743)</f>
        <v>0.6455483871</v>
      </c>
      <c r="X10" s="109">
        <f>IFERROR(__xludf.DUMMYFUNCTION("""COMPUTED_VALUE"""),0.6595166666666665)</f>
        <v>0.6595166667</v>
      </c>
      <c r="Y10" s="109">
        <f>IFERROR(__xludf.DUMMYFUNCTION("""COMPUTED_VALUE"""),0.6066935483870967)</f>
        <v>0.6066935484</v>
      </c>
      <c r="Z10" s="109">
        <f>IFERROR(__xludf.DUMMYFUNCTION("""COMPUTED_VALUE"""),0.66905)</f>
        <v>0.66905</v>
      </c>
      <c r="AA10" s="109">
        <f>IFERROR(__xludf.DUMMYFUNCTION("""COMPUTED_VALUE"""),0.6060806451612902)</f>
        <v>0.6060806452</v>
      </c>
      <c r="AB10" s="109">
        <f>IFERROR(__xludf.DUMMYFUNCTION("""COMPUTED_VALUE"""),0.5700161290322582)</f>
        <v>0.570016129</v>
      </c>
      <c r="AC10" s="109">
        <f>IFERROR(__xludf.DUMMYFUNCTION("""COMPUTED_VALUE"""),0.6813214285714286)</f>
        <v>0.6813214286</v>
      </c>
      <c r="AD10" s="109">
        <f>IFERROR(__xludf.DUMMYFUNCTION("""COMPUTED_VALUE"""),0.6134516129032258)</f>
        <v>0.6134516129</v>
      </c>
      <c r="AE10" s="109">
        <f>IFERROR(__xludf.DUMMYFUNCTION("""COMPUTED_VALUE"""),0.6785333333333331)</f>
        <v>0.6785333333</v>
      </c>
      <c r="AF10" s="109">
        <f>IFERROR(__xludf.DUMMYFUNCTION("""COMPUTED_VALUE"""),0.6939193548387097)</f>
        <v>0.6939193548</v>
      </c>
      <c r="AG10" s="109">
        <f>IFERROR(__xludf.DUMMYFUNCTION("""COMPUTED_VALUE"""),0.6986666666666665)</f>
        <v>0.6986666667</v>
      </c>
      <c r="AH10" s="109">
        <f>IFERROR(__xludf.DUMMYFUNCTION("""COMPUTED_VALUE"""),0.6928548387096773)</f>
        <v>0.6928548387</v>
      </c>
      <c r="AI10" s="109">
        <f>IFERROR(__xludf.DUMMYFUNCTION("""COMPUTED_VALUE"""),0.6455483870967743)</f>
        <v>0.6455483871</v>
      </c>
      <c r="AJ10" s="109">
        <f>IFERROR(__xludf.DUMMYFUNCTION("""COMPUTED_VALUE"""),0.6595166666666665)</f>
        <v>0.6595166667</v>
      </c>
      <c r="AK10" s="109">
        <f>IFERROR(__xludf.DUMMYFUNCTION("""COMPUTED_VALUE"""),0.6066935483870967)</f>
        <v>0.6066935484</v>
      </c>
      <c r="AL10" s="109">
        <f>IFERROR(__xludf.DUMMYFUNCTION("""COMPUTED_VALUE"""),0.66905)</f>
        <v>0.66905</v>
      </c>
      <c r="AM10" s="109">
        <f>IFERROR(__xludf.DUMMYFUNCTION("""COMPUTED_VALUE"""),0.6060806451612902)</f>
        <v>0.6060806452</v>
      </c>
      <c r="AN10" s="109">
        <f>IFERROR(__xludf.DUMMYFUNCTION("""COMPUTED_VALUE"""),0.5700161290322582)</f>
        <v>0.570016129</v>
      </c>
      <c r="AO10" s="109">
        <f>IFERROR(__xludf.DUMMYFUNCTION("""COMPUTED_VALUE"""),0.6813214285714286)</f>
        <v>0.6813214286</v>
      </c>
      <c r="AP10" s="109">
        <f>IFERROR(__xludf.DUMMYFUNCTION("""COMPUTED_VALUE"""),0.6134516129032258)</f>
        <v>0.6134516129</v>
      </c>
      <c r="AQ10" s="109">
        <f>IFERROR(__xludf.DUMMYFUNCTION("""COMPUTED_VALUE"""),0.6785333333333331)</f>
        <v>0.6785333333</v>
      </c>
      <c r="AR10" s="109">
        <f>IFERROR(__xludf.DUMMYFUNCTION("""COMPUTED_VALUE"""),0.6939193548387097)</f>
        <v>0.6939193548</v>
      </c>
      <c r="AS10" s="109">
        <f>IFERROR(__xludf.DUMMYFUNCTION("""COMPUTED_VALUE"""),0.6986666666666665)</f>
        <v>0.6986666667</v>
      </c>
      <c r="AT10" s="109">
        <f>IFERROR(__xludf.DUMMYFUNCTION("""COMPUTED_VALUE"""),0.6928548387096773)</f>
        <v>0.6928548387</v>
      </c>
      <c r="AU10" s="109">
        <f>IFERROR(__xludf.DUMMYFUNCTION("""COMPUTED_VALUE"""),0.6455483870967743)</f>
        <v>0.6455483871</v>
      </c>
      <c r="AV10" s="109">
        <f>IFERROR(__xludf.DUMMYFUNCTION("""COMPUTED_VALUE"""),0.6595166666666665)</f>
        <v>0.6595166667</v>
      </c>
      <c r="AW10" s="109">
        <f>IFERROR(__xludf.DUMMYFUNCTION("""COMPUTED_VALUE"""),0.6066935483870967)</f>
        <v>0.6066935484</v>
      </c>
      <c r="AX10" s="109">
        <f>IFERROR(__xludf.DUMMYFUNCTION("""COMPUTED_VALUE"""),0.66905)</f>
        <v>0.66905</v>
      </c>
      <c r="AY10" s="109">
        <f>IFERROR(__xludf.DUMMYFUNCTION("""COMPUTED_VALUE"""),0.6060806451612902)</f>
        <v>0.6060806452</v>
      </c>
      <c r="AZ10" s="109">
        <f>IFERROR(__xludf.DUMMYFUNCTION("""COMPUTED_VALUE"""),0.5700161290322582)</f>
        <v>0.570016129</v>
      </c>
      <c r="BA10" s="109">
        <f>IFERROR(__xludf.DUMMYFUNCTION("""COMPUTED_VALUE"""),0.6813214285714286)</f>
        <v>0.6813214286</v>
      </c>
      <c r="BB10" s="109">
        <f>IFERROR(__xludf.DUMMYFUNCTION("""COMPUTED_VALUE"""),0.6134516129032258)</f>
        <v>0.6134516129</v>
      </c>
      <c r="BC10" s="109">
        <f>IFERROR(__xludf.DUMMYFUNCTION("""COMPUTED_VALUE"""),0.6785333333333331)</f>
        <v>0.6785333333</v>
      </c>
      <c r="BD10" s="109">
        <f>IFERROR(__xludf.DUMMYFUNCTION("""COMPUTED_VALUE"""),0.6939193548387097)</f>
        <v>0.6939193548</v>
      </c>
      <c r="BE10" s="109">
        <f>IFERROR(__xludf.DUMMYFUNCTION("""COMPUTED_VALUE"""),0.6986666666666665)</f>
        <v>0.6986666667</v>
      </c>
      <c r="BF10" s="109">
        <f>IFERROR(__xludf.DUMMYFUNCTION("""COMPUTED_VALUE"""),0.6928548387096773)</f>
        <v>0.6928548387</v>
      </c>
      <c r="BG10" s="109">
        <f>IFERROR(__xludf.DUMMYFUNCTION("""COMPUTED_VALUE"""),0.6455483870967743)</f>
        <v>0.6455483871</v>
      </c>
      <c r="BH10" s="109">
        <f>IFERROR(__xludf.DUMMYFUNCTION("""COMPUTED_VALUE"""),0.6595166666666665)</f>
        <v>0.6595166667</v>
      </c>
      <c r="BI10" s="109">
        <f>IFERROR(__xludf.DUMMYFUNCTION("""COMPUTED_VALUE"""),0.6066935483870967)</f>
        <v>0.6066935484</v>
      </c>
      <c r="BJ10" s="109">
        <f>IFERROR(__xludf.DUMMYFUNCTION("""COMPUTED_VALUE"""),0.66905)</f>
        <v>0.66905</v>
      </c>
      <c r="BK10" s="109">
        <f>IFERROR(__xludf.DUMMYFUNCTION("""COMPUTED_VALUE"""),0.6060806451612902)</f>
        <v>0.6060806452</v>
      </c>
      <c r="BL10" s="109">
        <f t="shared" si="5"/>
        <v>0.6513043843</v>
      </c>
    </row>
    <row r="11" ht="22.5" customHeight="1" outlineLevel="2">
      <c r="A11" s="74"/>
      <c r="B11" s="75"/>
      <c r="C11" s="76" t="s">
        <v>291</v>
      </c>
      <c r="D11" s="114">
        <f>IFERROR(__xludf.DUMMYFUNCTION("IMPORTRANGE(""10OcXjkVvXdQ20Dikey2wLwZD9Qs97Ke_ckzbHR2FA6E"",""P1!E15:BL15"")"),1339.7392982578176)</f>
        <v>1339.739298</v>
      </c>
      <c r="E11" s="114">
        <f>IFERROR(__xludf.DUMMYFUNCTION("""COMPUTED_VALUE"""),1349.3163954323456)</f>
        <v>1349.316395</v>
      </c>
      <c r="F11" s="114">
        <f>IFERROR(__xludf.DUMMYFUNCTION("""COMPUTED_VALUE"""),1209.9278503160565)</f>
        <v>1209.92785</v>
      </c>
      <c r="G11" s="114">
        <f>IFERROR(__xludf.DUMMYFUNCTION("""COMPUTED_VALUE"""),1225.0233520795716)</f>
        <v>1225.023352</v>
      </c>
      <c r="H11" s="114">
        <f>IFERROR(__xludf.DUMMYFUNCTION("""COMPUTED_VALUE"""),1194.6606858802666)</f>
        <v>1194.660686</v>
      </c>
      <c r="I11" s="114">
        <f>IFERROR(__xludf.DUMMYFUNCTION("""COMPUTED_VALUE"""),1234.1579689239336)</f>
        <v>1234.157969</v>
      </c>
      <c r="J11" s="114">
        <f>IFERROR(__xludf.DUMMYFUNCTION("""COMPUTED_VALUE"""),1206.3797045308463)</f>
        <v>1206.379705</v>
      </c>
      <c r="K11" s="114">
        <f>IFERROR(__xludf.DUMMYFUNCTION("""COMPUTED_VALUE"""),1256.1956713551972)</f>
        <v>1256.195671</v>
      </c>
      <c r="L11" s="114">
        <f>IFERROR(__xludf.DUMMYFUNCTION("""COMPUTED_VALUE"""),1241.9936264922626)</f>
        <v>1241.993626</v>
      </c>
      <c r="M11" s="114">
        <f>IFERROR(__xludf.DUMMYFUNCTION("""COMPUTED_VALUE"""),1272.2738405418927)</f>
        <v>1272.273841</v>
      </c>
      <c r="N11" s="114">
        <f>IFERROR(__xludf.DUMMYFUNCTION("""COMPUTED_VALUE"""),1336.7862272085836)</f>
        <v>1336.786227</v>
      </c>
      <c r="O11" s="114">
        <f>IFERROR(__xludf.DUMMYFUNCTION("""COMPUTED_VALUE"""),1356.2331073793514)</f>
        <v>1356.233107</v>
      </c>
      <c r="P11" s="115">
        <f>IFERROR(__xludf.DUMMYFUNCTION("""COMPUTED_VALUE"""),1393.3288701881297)</f>
        <v>1393.32887</v>
      </c>
      <c r="Q11" s="115">
        <f>IFERROR(__xludf.DUMMYFUNCTION("""COMPUTED_VALUE"""),1403.2890512496397)</f>
        <v>1403.289051</v>
      </c>
      <c r="R11" s="115">
        <f>IFERROR(__xludf.DUMMYFUNCTION("""COMPUTED_VALUE"""),1258.3249643286988)</f>
        <v>1258.324964</v>
      </c>
      <c r="S11" s="115">
        <f>IFERROR(__xludf.DUMMYFUNCTION("""COMPUTED_VALUE"""),1274.0242861627546)</f>
        <v>1274.024286</v>
      </c>
      <c r="T11" s="115">
        <f>IFERROR(__xludf.DUMMYFUNCTION("""COMPUTED_VALUE"""),1242.447113315477)</f>
        <v>1242.447113</v>
      </c>
      <c r="U11" s="115">
        <f>IFERROR(__xludf.DUMMYFUNCTION("""COMPUTED_VALUE"""),1283.5242876808913)</f>
        <v>1283.524288</v>
      </c>
      <c r="V11" s="115">
        <f>IFERROR(__xludf.DUMMYFUNCTION("""COMPUTED_VALUE"""),1254.6348927120798)</f>
        <v>1254.634893</v>
      </c>
      <c r="W11" s="115">
        <f>IFERROR(__xludf.DUMMYFUNCTION("""COMPUTED_VALUE"""),1306.443498209405)</f>
        <v>1306.443498</v>
      </c>
      <c r="X11" s="115">
        <f>IFERROR(__xludf.DUMMYFUNCTION("""COMPUTED_VALUE"""),1291.6733715519533)</f>
        <v>1291.673372</v>
      </c>
      <c r="Y11" s="115">
        <f>IFERROR(__xludf.DUMMYFUNCTION("""COMPUTED_VALUE"""),1323.164794163568)</f>
        <v>1323.164794</v>
      </c>
      <c r="Z11" s="115">
        <f>IFERROR(__xludf.DUMMYFUNCTION("""COMPUTED_VALUE"""),1390.257676296927)</f>
        <v>1390.257676</v>
      </c>
      <c r="AA11" s="115">
        <f>IFERROR(__xludf.DUMMYFUNCTION("""COMPUTED_VALUE"""),1410.4824316745257)</f>
        <v>1410.482432</v>
      </c>
      <c r="AB11" s="115">
        <f>IFERROR(__xludf.DUMMYFUNCTION("""COMPUTED_VALUE"""),1449.0620249956557)</f>
        <v>1449.062025</v>
      </c>
      <c r="AC11" s="115">
        <f>IFERROR(__xludf.DUMMYFUNCTION("""COMPUTED_VALUE"""),1459.420613299625)</f>
        <v>1459.420613</v>
      </c>
      <c r="AD11" s="115">
        <f>IFERROR(__xludf.DUMMYFUNCTION("""COMPUTED_VALUE"""),1308.6579629018465)</f>
        <v>1308.657963</v>
      </c>
      <c r="AE11" s="115">
        <f>IFERROR(__xludf.DUMMYFUNCTION("""COMPUTED_VALUE"""),1324.9852576092646)</f>
        <v>1324.985258</v>
      </c>
      <c r="AF11" s="115">
        <f>IFERROR(__xludf.DUMMYFUNCTION("""COMPUTED_VALUE"""),1292.144997848096)</f>
        <v>1292.144998</v>
      </c>
      <c r="AG11" s="115">
        <f>IFERROR(__xludf.DUMMYFUNCTION("""COMPUTED_VALUE"""),1334.865259188127)</f>
        <v>1334.865259</v>
      </c>
      <c r="AH11" s="115">
        <f>IFERROR(__xludf.DUMMYFUNCTION("""COMPUTED_VALUE"""),1304.8202884205632)</f>
        <v>1304.820288</v>
      </c>
      <c r="AI11" s="115">
        <f>IFERROR(__xludf.DUMMYFUNCTION("""COMPUTED_VALUE"""),1358.701238137781)</f>
        <v>1358.701238</v>
      </c>
      <c r="AJ11" s="115">
        <f>IFERROR(__xludf.DUMMYFUNCTION("""COMPUTED_VALUE"""),1343.3403064140314)</f>
        <v>1343.340306</v>
      </c>
      <c r="AK11" s="115">
        <f>IFERROR(__xludf.DUMMYFUNCTION("""COMPUTED_VALUE"""),1376.091385930111)</f>
        <v>1376.091386</v>
      </c>
      <c r="AL11" s="115">
        <f>IFERROR(__xludf.DUMMYFUNCTION("""COMPUTED_VALUE"""),1445.8679833488045)</f>
        <v>1445.867983</v>
      </c>
      <c r="AM11" s="115">
        <f>IFERROR(__xludf.DUMMYFUNCTION("""COMPUTED_VALUE"""),1466.901728941507)</f>
        <v>1466.901729</v>
      </c>
      <c r="AN11" s="115">
        <f>IFERROR(__xludf.DUMMYFUNCTION("""COMPUTED_VALUE"""),1507.0245059954816)</f>
        <v>1507.024506</v>
      </c>
      <c r="AO11" s="115">
        <f>IFERROR(__xludf.DUMMYFUNCTION("""COMPUTED_VALUE"""),1517.7974378316105)</f>
        <v>1517.797438</v>
      </c>
      <c r="AP11" s="115">
        <f>IFERROR(__xludf.DUMMYFUNCTION("""COMPUTED_VALUE"""),1361.0042814179205)</f>
        <v>1361.004281</v>
      </c>
      <c r="AQ11" s="115">
        <f>IFERROR(__xludf.DUMMYFUNCTION("""COMPUTED_VALUE"""),1377.9846679136351)</f>
        <v>1377.984668</v>
      </c>
      <c r="AR11" s="115">
        <f>IFERROR(__xludf.DUMMYFUNCTION("""COMPUTED_VALUE"""),1343.83079776202)</f>
        <v>1343.830798</v>
      </c>
      <c r="AS11" s="115">
        <f>IFERROR(__xludf.DUMMYFUNCTION("""COMPUTED_VALUE"""),1388.259869555652)</f>
        <v>1388.25987</v>
      </c>
      <c r="AT11" s="115">
        <f>IFERROR(__xludf.DUMMYFUNCTION("""COMPUTED_VALUE"""),1357.013099957386)</f>
        <v>1357.0131</v>
      </c>
      <c r="AU11" s="115">
        <f>IFERROR(__xludf.DUMMYFUNCTION("""COMPUTED_VALUE"""),1413.0492876632927)</f>
        <v>1413.049288</v>
      </c>
      <c r="AV11" s="115">
        <f>IFERROR(__xludf.DUMMYFUNCTION("""COMPUTED_VALUE"""),1397.0739186705923)</f>
        <v>1397.073919</v>
      </c>
      <c r="AW11" s="115">
        <f>IFERROR(__xludf.DUMMYFUNCTION("""COMPUTED_VALUE"""),1431.1350413673154)</f>
        <v>1431.135041</v>
      </c>
      <c r="AX11" s="115">
        <f>IFERROR(__xludf.DUMMYFUNCTION("""COMPUTED_VALUE"""),1503.7027026827561)</f>
        <v>1503.702703</v>
      </c>
      <c r="AY11" s="115">
        <f>IFERROR(__xludf.DUMMYFUNCTION("""COMPUTED_VALUE"""),1525.5777980991672)</f>
        <v>1525.577798</v>
      </c>
      <c r="AZ11" s="115">
        <f>IFERROR(__xludf.DUMMYFUNCTION("""COMPUTED_VALUE"""),1567.305486235301)</f>
        <v>1567.305486</v>
      </c>
      <c r="BA11" s="115">
        <f>IFERROR(__xludf.DUMMYFUNCTION("""COMPUTED_VALUE"""),1578.5093353448747)</f>
        <v>1578.509335</v>
      </c>
      <c r="BB11" s="115">
        <f>IFERROR(__xludf.DUMMYFUNCTION("""COMPUTED_VALUE"""),1415.4444526746372)</f>
        <v>1415.444453</v>
      </c>
      <c r="BC11" s="115">
        <f>IFERROR(__xludf.DUMMYFUNCTION("""COMPUTED_VALUE"""),1433.1040546301808)</f>
        <v>1433.104055</v>
      </c>
      <c r="BD11" s="115">
        <f>IFERROR(__xludf.DUMMYFUNCTION("""COMPUTED_VALUE"""),1397.584029672501)</f>
        <v>1397.58403</v>
      </c>
      <c r="BE11" s="115">
        <f>IFERROR(__xludf.DUMMYFUNCTION("""COMPUTED_VALUE"""),1443.7902643378784)</f>
        <v>1443.790264</v>
      </c>
      <c r="BF11" s="115">
        <f>IFERROR(__xludf.DUMMYFUNCTION("""COMPUTED_VALUE"""),1411.2936239556814)</f>
        <v>1411.293624</v>
      </c>
      <c r="BG11" s="115">
        <f>IFERROR(__xludf.DUMMYFUNCTION("""COMPUTED_VALUE"""),1469.5712591698245)</f>
        <v>1469.571259</v>
      </c>
      <c r="BH11" s="115">
        <f>IFERROR(__xludf.DUMMYFUNCTION("""COMPUTED_VALUE"""),1452.956875417416)</f>
        <v>1452.956875</v>
      </c>
      <c r="BI11" s="115">
        <f>IFERROR(__xludf.DUMMYFUNCTION("""COMPUTED_VALUE"""),1488.3804430220086)</f>
        <v>1488.380443</v>
      </c>
      <c r="BJ11" s="115">
        <f>IFERROR(__xludf.DUMMYFUNCTION("""COMPUTED_VALUE"""),1563.8508107900666)</f>
        <v>1563.850811</v>
      </c>
      <c r="BK11" s="115">
        <f>IFERROR(__xludf.DUMMYFUNCTION("""COMPUTED_VALUE"""),1586.6009100231338)</f>
        <v>1586.60091</v>
      </c>
      <c r="BL11" s="114">
        <f t="shared" si="5"/>
        <v>1374.183116</v>
      </c>
    </row>
    <row r="12" ht="22.5" customHeight="1" outlineLevel="2">
      <c r="A12" s="74"/>
      <c r="B12" s="75"/>
      <c r="C12" s="76" t="s">
        <v>297</v>
      </c>
      <c r="D12" s="114">
        <f>IFERROR(__xludf.DUMMYFUNCTION("IMPORTRANGE(""10OcXjkVvXdQ20Dikey2wLwZD9Qs97Ke_ckzbHR2FA6E"",""P1!E13:BL13"")"),763.6730087053152)</f>
        <v>763.6730087</v>
      </c>
      <c r="E12" s="114">
        <f>IFERROR(__xludf.DUMMYFUNCTION("""COMPUTED_VALUE"""),919.3181741308165)</f>
        <v>919.3181741</v>
      </c>
      <c r="F12" s="114">
        <f>IFERROR(__xludf.DUMMYFUNCTION("""COMPUTED_VALUE"""),742.2321912729176)</f>
        <v>742.2321913</v>
      </c>
      <c r="G12" s="114">
        <f>IFERROR(__xludf.DUMMYFUNCTION("""COMPUTED_VALUE"""),831.219178497725)</f>
        <v>831.2191785</v>
      </c>
      <c r="H12" s="114">
        <f>IFERROR(__xludf.DUMMYFUNCTION("""COMPUTED_VALUE"""),828.9981723972049)</f>
        <v>828.9981724</v>
      </c>
      <c r="I12" s="114">
        <f>IFERROR(__xludf.DUMMYFUNCTION("""COMPUTED_VALUE"""),862.2650342881882)</f>
        <v>862.2650343</v>
      </c>
      <c r="J12" s="114">
        <f>IFERROR(__xludf.DUMMYFUNCTION("""COMPUTED_VALUE"""),835.8460156053477)</f>
        <v>835.8460156</v>
      </c>
      <c r="K12" s="114">
        <f>IFERROR(__xludf.DUMMYFUNCTION("""COMPUTED_VALUE"""),810.9350895212972)</f>
        <v>810.9350895</v>
      </c>
      <c r="L12" s="114">
        <f>IFERROR(__xludf.DUMMYFUNCTION("""COMPUTED_VALUE"""),819.1154965654218)</f>
        <v>819.1154966</v>
      </c>
      <c r="M12" s="114">
        <f>IFERROR(__xludf.DUMMYFUNCTION("""COMPUTED_VALUE"""),771.88033083844)</f>
        <v>771.8803308</v>
      </c>
      <c r="N12" s="114">
        <f>IFERROR(__xludf.DUMMYFUNCTION("""COMPUTED_VALUE"""),894.3768253139029)</f>
        <v>894.3768253</v>
      </c>
      <c r="O12" s="114">
        <f>IFERROR(__xludf.DUMMYFUNCTION("""COMPUTED_VALUE"""),821.9866367095788)</f>
        <v>821.9866367</v>
      </c>
      <c r="P12" s="115">
        <f>IFERROR(__xludf.DUMMYFUNCTION("""COMPUTED_VALUE"""),794.2199290535275)</f>
        <v>794.2199291</v>
      </c>
      <c r="Q12" s="115">
        <f>IFERROR(__xludf.DUMMYFUNCTION("""COMPUTED_VALUE"""),956.0909010960493)</f>
        <v>956.0909011</v>
      </c>
      <c r="R12" s="115">
        <f>IFERROR(__xludf.DUMMYFUNCTION("""COMPUTED_VALUE"""),771.9214789238343)</f>
        <v>771.9214789</v>
      </c>
      <c r="S12" s="115">
        <f>IFERROR(__xludf.DUMMYFUNCTION("""COMPUTED_VALUE"""),864.4679456376341)</f>
        <v>864.4679456</v>
      </c>
      <c r="T12" s="115">
        <f>IFERROR(__xludf.DUMMYFUNCTION("""COMPUTED_VALUE"""),862.1580992930931)</f>
        <v>862.1580993</v>
      </c>
      <c r="U12" s="115">
        <f>IFERROR(__xludf.DUMMYFUNCTION("""COMPUTED_VALUE"""),896.755635659716)</f>
        <v>896.7556357</v>
      </c>
      <c r="V12" s="115">
        <f>IFERROR(__xludf.DUMMYFUNCTION("""COMPUTED_VALUE"""),869.2798562295615)</f>
        <v>869.2798562</v>
      </c>
      <c r="W12" s="115">
        <f>IFERROR(__xludf.DUMMYFUNCTION("""COMPUTED_VALUE"""),843.3724931021491)</f>
        <v>843.3724931</v>
      </c>
      <c r="X12" s="115">
        <f>IFERROR(__xludf.DUMMYFUNCTION("""COMPUTED_VALUE"""),851.8801164280388)</f>
        <v>851.8801164</v>
      </c>
      <c r="Y12" s="115">
        <f>IFERROR(__xludf.DUMMYFUNCTION("""COMPUTED_VALUE"""),802.7555440719775)</f>
        <v>802.7555441</v>
      </c>
      <c r="Z12" s="115">
        <f>IFERROR(__xludf.DUMMYFUNCTION("""COMPUTED_VALUE"""),930.1518983264591)</f>
        <v>930.1518983</v>
      </c>
      <c r="AA12" s="115">
        <f>IFERROR(__xludf.DUMMYFUNCTION("""COMPUTED_VALUE"""),854.866102177962)</f>
        <v>854.8661022</v>
      </c>
      <c r="AB12" s="115">
        <f>IFERROR(__xludf.DUMMYFUNCTION("""COMPUTED_VALUE"""),825.988726215669)</f>
        <v>825.9887262</v>
      </c>
      <c r="AC12" s="115">
        <f>IFERROR(__xludf.DUMMYFUNCTION("""COMPUTED_VALUE"""),994.334537139891)</f>
        <v>994.3345371</v>
      </c>
      <c r="AD12" s="115">
        <f>IFERROR(__xludf.DUMMYFUNCTION("""COMPUTED_VALUE"""),802.7983380807876)</f>
        <v>802.7983381</v>
      </c>
      <c r="AE12" s="115">
        <f>IFERROR(__xludf.DUMMYFUNCTION("""COMPUTED_VALUE"""),899.0466634631395)</f>
        <v>899.0466635</v>
      </c>
      <c r="AF12" s="115">
        <f>IFERROR(__xludf.DUMMYFUNCTION("""COMPUTED_VALUE"""),896.6444232648166)</f>
        <v>896.6444233</v>
      </c>
      <c r="AG12" s="115">
        <f>IFERROR(__xludf.DUMMYFUNCTION("""COMPUTED_VALUE"""),932.6258610861047)</f>
        <v>932.6258611</v>
      </c>
      <c r="AH12" s="115">
        <f>IFERROR(__xludf.DUMMYFUNCTION("""COMPUTED_VALUE"""),904.0510504787441)</f>
        <v>904.0510505</v>
      </c>
      <c r="AI12" s="115">
        <f>IFERROR(__xludf.DUMMYFUNCTION("""COMPUTED_VALUE"""),877.1073928262348)</f>
        <v>877.1073928</v>
      </c>
      <c r="AJ12" s="115">
        <f>IFERROR(__xludf.DUMMYFUNCTION("""COMPUTED_VALUE"""),885.9553210851603)</f>
        <v>885.9553211</v>
      </c>
      <c r="AK12" s="115">
        <f>IFERROR(__xludf.DUMMYFUNCTION("""COMPUTED_VALUE"""),834.8657658348568)</f>
        <v>834.8657658</v>
      </c>
      <c r="AL12" s="115">
        <f>IFERROR(__xludf.DUMMYFUNCTION("""COMPUTED_VALUE"""),967.3579742595177)</f>
        <v>967.3579743</v>
      </c>
      <c r="AM12" s="115">
        <f>IFERROR(__xludf.DUMMYFUNCTION("""COMPUTED_VALUE"""),889.0607462650806)</f>
        <v>889.0607463</v>
      </c>
      <c r="AN12" s="115">
        <f>IFERROR(__xludf.DUMMYFUNCTION("""COMPUTED_VALUE"""),859.0282752642955)</f>
        <v>859.0282753</v>
      </c>
      <c r="AO12" s="115">
        <f>IFERROR(__xludf.DUMMYFUNCTION("""COMPUTED_VALUE"""),1034.107918625487)</f>
        <v>1034.107919</v>
      </c>
      <c r="AP12" s="115">
        <f>IFERROR(__xludf.DUMMYFUNCTION("""COMPUTED_VALUE"""),834.9102716040192)</f>
        <v>834.9102716</v>
      </c>
      <c r="AQ12" s="115">
        <f>IFERROR(__xludf.DUMMYFUNCTION("""COMPUTED_VALUE"""),935.0085300016649)</f>
        <v>935.00853</v>
      </c>
      <c r="AR12" s="115">
        <f>IFERROR(__xludf.DUMMYFUNCTION("""COMPUTED_VALUE"""),932.5102001954095)</f>
        <v>932.5102002</v>
      </c>
      <c r="AS12" s="115">
        <f>IFERROR(__xludf.DUMMYFUNCTION("""COMPUTED_VALUE"""),969.9308955295486)</f>
        <v>969.9308955</v>
      </c>
      <c r="AT12" s="115">
        <f>IFERROR(__xludf.DUMMYFUNCTION("""COMPUTED_VALUE"""),940.2130924978939)</f>
        <v>940.2130925</v>
      </c>
      <c r="AU12" s="115">
        <f>IFERROR(__xludf.DUMMYFUNCTION("""COMPUTED_VALUE"""),912.1916885392844)</f>
        <v>912.1916885</v>
      </c>
      <c r="AV12" s="115">
        <f>IFERROR(__xludf.DUMMYFUNCTION("""COMPUTED_VALUE"""),921.3935339285666)</f>
        <v>921.3935339</v>
      </c>
      <c r="AW12" s="115">
        <f>IFERROR(__xludf.DUMMYFUNCTION("""COMPUTED_VALUE"""),868.260396468251)</f>
        <v>868.2603965</v>
      </c>
      <c r="AX12" s="115">
        <f>IFERROR(__xludf.DUMMYFUNCTION("""COMPUTED_VALUE"""),1006.052293229898)</f>
        <v>1006.052293</v>
      </c>
      <c r="AY12" s="115">
        <f>IFERROR(__xludf.DUMMYFUNCTION("""COMPUTED_VALUE"""),924.6231761156838)</f>
        <v>924.6231761</v>
      </c>
      <c r="AZ12" s="115">
        <f>IFERROR(__xludf.DUMMYFUNCTION("""COMPUTED_VALUE"""),893.3894062748675)</f>
        <v>893.3894063</v>
      </c>
      <c r="BA12" s="115">
        <f>IFERROR(__xludf.DUMMYFUNCTION("""COMPUTED_VALUE"""),1075.4722353705063)</f>
        <v>1075.472235</v>
      </c>
      <c r="BB12" s="115">
        <f>IFERROR(__xludf.DUMMYFUNCTION("""COMPUTED_VALUE"""),868.3066824681799)</f>
        <v>868.3066825</v>
      </c>
      <c r="BC12" s="115">
        <f>IFERROR(__xludf.DUMMYFUNCTION("""COMPUTED_VALUE"""),972.4088712017317)</f>
        <v>972.4088712</v>
      </c>
      <c r="BD12" s="115">
        <f>IFERROR(__xludf.DUMMYFUNCTION("""COMPUTED_VALUE"""),969.810608203226)</f>
        <v>969.8106082</v>
      </c>
      <c r="BE12" s="115">
        <f>IFERROR(__xludf.DUMMYFUNCTION("""COMPUTED_VALUE"""),1008.7281313507309)</f>
        <v>1008.728131</v>
      </c>
      <c r="BF12" s="115">
        <f>IFERROR(__xludf.DUMMYFUNCTION("""COMPUTED_VALUE"""),977.8216161978096)</f>
        <v>977.8216162</v>
      </c>
      <c r="BG12" s="115">
        <f>IFERROR(__xludf.DUMMYFUNCTION("""COMPUTED_VALUE"""),948.679356080856)</f>
        <v>948.6793561</v>
      </c>
      <c r="BH12" s="115">
        <f>IFERROR(__xludf.DUMMYFUNCTION("""COMPUTED_VALUE"""),958.2492752857094)</f>
        <v>958.2492753</v>
      </c>
      <c r="BI12" s="115">
        <f>IFERROR(__xludf.DUMMYFUNCTION("""COMPUTED_VALUE"""),902.9908123269813)</f>
        <v>902.9908123</v>
      </c>
      <c r="BJ12" s="115">
        <f>IFERROR(__xludf.DUMMYFUNCTION("""COMPUTED_VALUE"""),1046.294384959094)</f>
        <v>1046.294385</v>
      </c>
      <c r="BK12" s="115">
        <f>IFERROR(__xludf.DUMMYFUNCTION("""COMPUTED_VALUE"""),961.6081031603111)</f>
        <v>961.6081032</v>
      </c>
      <c r="BL12" s="114">
        <f t="shared" si="5"/>
        <v>893.8598785</v>
      </c>
    </row>
    <row r="13" ht="22.5" customHeight="1" outlineLevel="1">
      <c r="A13" s="69"/>
      <c r="B13" s="70" t="s">
        <v>306</v>
      </c>
      <c r="C13" s="71"/>
      <c r="D13" s="72">
        <f>IFERROR(__xludf.DUMMYFUNCTION("IFERROR(IMPORTRANGE(""https://docs.google.com/spreadsheets/d/113Ah55vN7ZtqjRW56fWOsnIaTUko57qPvHiPNGZ2OQ0/edit?usp=sharing"", ""P1!E"" &amp; FilaVentaEsc &amp; "":BL"" &amp; FilaVentaEsc), ""Revise Error"")"),415667.29837790644)</f>
        <v>415667.2984</v>
      </c>
      <c r="E13" s="72">
        <f>IFERROR(__xludf.DUMMYFUNCTION("""COMPUTED_VALUE"""),414575.82753013924)</f>
        <v>414575.8275</v>
      </c>
      <c r="F13" s="72">
        <f>IFERROR(__xludf.DUMMYFUNCTION("""COMPUTED_VALUE"""),503507.2533419138)</f>
        <v>503507.2533</v>
      </c>
      <c r="G13" s="72">
        <f>IFERROR(__xludf.DUMMYFUNCTION("""COMPUTED_VALUE"""),406436.05524811125)</f>
        <v>406436.0552</v>
      </c>
      <c r="H13" s="72">
        <f>IFERROR(__xludf.DUMMYFUNCTION("""COMPUTED_VALUE"""),415094.3446624822)</f>
        <v>415094.3447</v>
      </c>
      <c r="I13" s="72">
        <f>IFERROR(__xludf.DUMMYFUNCTION("""COMPUTED_VALUE"""),412473.37288263283)</f>
        <v>412473.3729</v>
      </c>
      <c r="J13" s="72">
        <f>IFERROR(__xludf.DUMMYFUNCTION("""COMPUTED_VALUE"""),469664.11898114585)</f>
        <v>469664.119</v>
      </c>
      <c r="K13" s="72">
        <f>IFERROR(__xludf.DUMMYFUNCTION("""COMPUTED_VALUE"""),485076.76720863394)</f>
        <v>485076.7672</v>
      </c>
      <c r="L13" s="72">
        <f>IFERROR(__xludf.DUMMYFUNCTION("""COMPUTED_VALUE"""),349690.5258173814)</f>
        <v>349690.5258</v>
      </c>
      <c r="M13" s="72">
        <f>IFERROR(__xludf.DUMMYFUNCTION("""COMPUTED_VALUE"""),332155.65606695943)</f>
        <v>332155.6561</v>
      </c>
      <c r="N13" s="72">
        <f>IFERROR(__xludf.DUMMYFUNCTION("""COMPUTED_VALUE"""),457071.35044006625)</f>
        <v>457071.3504</v>
      </c>
      <c r="O13" s="72">
        <f>IFERROR(__xludf.DUMMYFUNCTION("""COMPUTED_VALUE"""),399419.8669335193)</f>
        <v>399419.8669</v>
      </c>
      <c r="P13" s="72">
        <f>IFERROR(__xludf.DUMMYFUNCTION("""COMPUTED_VALUE"""),406356.3508942413)</f>
        <v>406356.3509</v>
      </c>
      <c r="Q13" s="72">
        <f>IFERROR(__xludf.DUMMYFUNCTION("""COMPUTED_VALUE"""),405289.328993464)</f>
        <v>405289.329</v>
      </c>
      <c r="R13" s="72">
        <f>IFERROR(__xludf.DUMMYFUNCTION("""COMPUTED_VALUE"""),492228.6908670549)</f>
        <v>492228.6909</v>
      </c>
      <c r="S13" s="72">
        <f>IFERROR(__xludf.DUMMYFUNCTION("""COMPUTED_VALUE"""),397331.88761055353)</f>
        <v>397331.8876</v>
      </c>
      <c r="T13" s="72">
        <f>IFERROR(__xludf.DUMMYFUNCTION("""COMPUTED_VALUE"""),405796.23134204256)</f>
        <v>405796.2313</v>
      </c>
      <c r="U13" s="72">
        <f>IFERROR(__xludf.DUMMYFUNCTION("""COMPUTED_VALUE"""),403233.9693300618)</f>
        <v>403233.9693</v>
      </c>
      <c r="V13" s="72">
        <f>IFERROR(__xludf.DUMMYFUNCTION("""COMPUTED_VALUE"""),459143.64271596813)</f>
        <v>459143.6427</v>
      </c>
      <c r="W13" s="72">
        <f>IFERROR(__xludf.DUMMYFUNCTION("""COMPUTED_VALUE"""),474211.0476231606)</f>
        <v>474211.0476</v>
      </c>
      <c r="X13" s="72">
        <f>IFERROR(__xludf.DUMMYFUNCTION("""COMPUTED_VALUE"""),341857.458039072)</f>
        <v>341857.458</v>
      </c>
      <c r="Y13" s="72">
        <f>IFERROR(__xludf.DUMMYFUNCTION("""COMPUTED_VALUE"""),324715.3693710596)</f>
        <v>324715.3694</v>
      </c>
      <c r="Z13" s="72">
        <f>IFERROR(__xludf.DUMMYFUNCTION("""COMPUTED_VALUE"""),446832.95219020883)</f>
        <v>446832.9522</v>
      </c>
      <c r="AA13" s="72">
        <f>IFERROR(__xludf.DUMMYFUNCTION("""COMPUTED_VALUE"""),390472.86191420857)</f>
        <v>390472.8619</v>
      </c>
      <c r="AB13" s="72">
        <f>IFERROR(__xludf.DUMMYFUNCTION("""COMPUTED_VALUE"""),397253.96863421035)</f>
        <v>397253.9686</v>
      </c>
      <c r="AC13" s="72">
        <f>IFERROR(__xludf.DUMMYFUNCTION("""COMPUTED_VALUE"""),396210.8480240104)</f>
        <v>396210.848</v>
      </c>
      <c r="AD13" s="72">
        <f>IFERROR(__xludf.DUMMYFUNCTION("""COMPUTED_VALUE"""),481202.768191633)</f>
        <v>481202.7682</v>
      </c>
      <c r="AE13" s="72">
        <f>IFERROR(__xludf.DUMMYFUNCTION("""COMPUTED_VALUE"""),388431.6533280771)</f>
        <v>388431.6533</v>
      </c>
      <c r="AF13" s="72">
        <f>IFERROR(__xludf.DUMMYFUNCTION("""COMPUTED_VALUE"""),396706.39575998083)</f>
        <v>396706.3958</v>
      </c>
      <c r="AG13" s="72">
        <f>IFERROR(__xludf.DUMMYFUNCTION("""COMPUTED_VALUE"""),394201.5284170685)</f>
        <v>394201.5284</v>
      </c>
      <c r="AH13" s="72">
        <f>IFERROR(__xludf.DUMMYFUNCTION("""COMPUTED_VALUE"""),448858.82511913055)</f>
        <v>448858.8251</v>
      </c>
      <c r="AI13" s="72">
        <f>IFERROR(__xludf.DUMMYFUNCTION("""COMPUTED_VALUE"""),463588.72015640175)</f>
        <v>463588.7202</v>
      </c>
      <c r="AJ13" s="72">
        <f>IFERROR(__xludf.DUMMYFUNCTION("""COMPUTED_VALUE"""),334199.8509789969)</f>
        <v>334199.851</v>
      </c>
      <c r="AK13" s="72">
        <f>IFERROR(__xludf.DUMMYFUNCTION("""COMPUTED_VALUE"""),317441.7450971478)</f>
        <v>317441.7451</v>
      </c>
      <c r="AL13" s="72">
        <f>IFERROR(__xludf.DUMMYFUNCTION("""COMPUTED_VALUE"""),436823.8940611481)</f>
        <v>436823.8941</v>
      </c>
      <c r="AM13" s="72">
        <f>IFERROR(__xludf.DUMMYFUNCTION("""COMPUTED_VALUE"""),381726.2698073302)</f>
        <v>381726.2698</v>
      </c>
      <c r="AN13" s="72">
        <f>IFERROR(__xludf.DUMMYFUNCTION("""COMPUTED_VALUE"""),388355.47973680403)</f>
        <v>388355.4797</v>
      </c>
      <c r="AO13" s="72">
        <f>IFERROR(__xludf.DUMMYFUNCTION("""COMPUTED_VALUE"""),401169.1437792823)</f>
        <v>401169.1438</v>
      </c>
      <c r="AP13" s="72">
        <f>IFERROR(__xludf.DUMMYFUNCTION("""COMPUTED_VALUE"""),470344.085918076)</f>
        <v>470344.0859</v>
      </c>
      <c r="AQ13" s="72">
        <f>IFERROR(__xludf.DUMMYFUNCTION("""COMPUTED_VALUE"""),379666.4171588573)</f>
        <v>379666.4172</v>
      </c>
      <c r="AR13" s="72">
        <f>IFERROR(__xludf.DUMMYFUNCTION("""COMPUTED_VALUE"""),387754.4341500466)</f>
        <v>387754.4342</v>
      </c>
      <c r="AS13" s="72">
        <f>IFERROR(__xludf.DUMMYFUNCTION("""COMPUTED_VALUE"""),385306.0909179916)</f>
        <v>385306.0909</v>
      </c>
      <c r="AT13" s="72">
        <f>IFERROR(__xludf.DUMMYFUNCTION("""COMPUTED_VALUE"""),438730.00689564575)</f>
        <v>438730.0069</v>
      </c>
      <c r="AU13" s="72">
        <f>IFERROR(__xludf.DUMMYFUNCTION("""COMPUTED_VALUE"""),453127.5113884203)</f>
        <v>453127.5114</v>
      </c>
      <c r="AV13" s="72">
        <f>IFERROR(__xludf.DUMMYFUNCTION("""COMPUTED_VALUE"""),326658.39395187143)</f>
        <v>326658.394</v>
      </c>
      <c r="AW13" s="72">
        <f>IFERROR(__xludf.DUMMYFUNCTION("""COMPUTED_VALUE"""),310278.4466329116)</f>
        <v>310278.4466</v>
      </c>
      <c r="AX13" s="72">
        <f>IFERROR(__xludf.DUMMYFUNCTION("""COMPUTED_VALUE"""),426966.6526056731)</f>
        <v>426966.6526</v>
      </c>
      <c r="AY13" s="72">
        <f>IFERROR(__xludf.DUMMYFUNCTION("""COMPUTED_VALUE"""),373112.34538024303)</f>
        <v>373112.3454</v>
      </c>
      <c r="AZ13" s="72">
        <f>IFERROR(__xludf.DUMMYFUNCTION("""COMPUTED_VALUE"""),379591.96247877914)</f>
        <v>379591.9625</v>
      </c>
      <c r="BA13" s="72">
        <f>IFERROR(__xludf.DUMMYFUNCTION("""COMPUTED_VALUE"""),378595.21925960085)</f>
        <v>378595.2193</v>
      </c>
      <c r="BB13" s="72">
        <f>IFERROR(__xludf.DUMMYFUNCTION("""COMPUTED_VALUE"""),459808.37839351106)</f>
        <v>459808.3784</v>
      </c>
      <c r="BC13" s="72">
        <f>IFERROR(__xludf.DUMMYFUNCTION("""COMPUTED_VALUE"""),371161.889414499)</f>
        <v>371161.8894</v>
      </c>
      <c r="BD13" s="72">
        <f>IFERROR(__xludf.DUMMYFUNCTION("""COMPUTED_VALUE"""),379068.7348250857)</f>
        <v>379068.7348</v>
      </c>
      <c r="BE13" s="72">
        <f>IFERROR(__xludf.DUMMYFUNCTION("""COMPUTED_VALUE"""),376675.23448142863)</f>
        <v>376675.2345</v>
      </c>
      <c r="BF13" s="72">
        <f>IFERROR(__xludf.DUMMYFUNCTION("""COMPUTED_VALUE"""),428902.4547411834)</f>
        <v>428902.4547</v>
      </c>
      <c r="BG13" s="72">
        <f>IFERROR(__xludf.DUMMYFUNCTION("""COMPUTED_VALUE"""),442977.45513331966)</f>
        <v>442977.4551</v>
      </c>
      <c r="BH13" s="72">
        <f>IFERROR(__xludf.DUMMYFUNCTION("""COMPUTED_VALUE"""),319341.2459273495)</f>
        <v>319341.2459</v>
      </c>
      <c r="BI13" s="72">
        <f>IFERROR(__xludf.DUMMYFUNCTION("""COMPUTED_VALUE"""),303328.2094283343)</f>
        <v>303328.2094</v>
      </c>
      <c r="BJ13" s="72">
        <f>IFERROR(__xludf.DUMMYFUNCTION("""COMPUTED_VALUE"""),417402.5995873061)</f>
        <v>417402.5996</v>
      </c>
      <c r="BK13" s="72">
        <f>IFERROR(__xludf.DUMMYFUNCTION("""COMPUTED_VALUE"""),364754.6288437257)</f>
        <v>364754.6288</v>
      </c>
      <c r="BL13" s="72">
        <f>SUM(D13:BK13)</f>
        <v>24208025.72</v>
      </c>
      <c r="BM13" s="72">
        <f>AVERAGE(D13:BK13)</f>
        <v>403467.0953</v>
      </c>
    </row>
    <row r="14" ht="22.5" customHeight="1" outlineLevel="2">
      <c r="A14" s="116"/>
      <c r="B14" s="69"/>
      <c r="C14" s="117" t="s">
        <v>221</v>
      </c>
      <c r="D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MATCH(D3,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""Unknown""))"),15.2)</f>
        <v>15.2</v>
      </c>
      <c r="E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MATCH(E3,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""Unknown""))"),15.120330917312678)</f>
        <v>15.12033092</v>
      </c>
      <c r="F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MATCH(F3,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""Unknown""))"),15.048730722530854)</f>
        <v>15.04873072</v>
      </c>
      <c r="G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MATCH(G3,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""Unknown""))"),14.969854500670818)</f>
        <v>14.9698545</v>
      </c>
      <c r="H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MATCH(H3,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""Unknown""))"),14.893916326951206)</f>
        <v>14.89391633</v>
      </c>
      <c r="I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MATCH(I3,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""Unknown""))"),14.8158515472545)</f>
        <v>14.81585155</v>
      </c>
      <c r="J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MATCH(J3,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""Unknown""))"),14.740694590415073)</f>
        <v>14.74069459</v>
      </c>
      <c r="K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MATCH(K3,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""Unknown""))"),14.663432905139262)</f>
        <v>14.66343291</v>
      </c>
      <c r="L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MATCH(L3,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""Unknown""))"),14.586576178257712)</f>
        <v>14.58657618</v>
      </c>
      <c r="M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MATCH(M3,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""Unknown""))"),14.512582275661714)</f>
        <v>14.51258228</v>
      </c>
      <c r="N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MATCH(N3,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""Unknown""))"),14.436516215311302)</f>
        <v>14.43651622</v>
      </c>
      <c r="O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MATCH(O3,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""Unknown""))"),14.363283527831594)</f>
        <v>14.36328353</v>
      </c>
      <c r="P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MATCH(P3,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""Unknown""))"),14.287999999999998)</f>
        <v>14.288</v>
      </c>
      <c r="Q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MATCH(Q3,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""Unknown""))"),14.213111062273915)</f>
        <v>14.21311106</v>
      </c>
      <c r="R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MATCH(R3,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""Unknown""))"),14.145806879179002)</f>
        <v>14.14580688</v>
      </c>
      <c r="S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MATCH(S3,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""Unknown""))"),14.071663230630568)</f>
        <v>14.07166323</v>
      </c>
      <c r="T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MATCH(T3,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""Unknown""))"),14.000281347334132)</f>
        <v>14.00028135</v>
      </c>
      <c r="U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MATCH(U3,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""Unknown""))"),13.926900454419227)</f>
        <v>13.92690045</v>
      </c>
      <c r="V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MATCH(V3,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""Unknown""))"),13.856252914990167)</f>
        <v>13.85625291</v>
      </c>
      <c r="W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MATCH(W3,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""Unknown""))"),13.783626930830906)</f>
        <v>13.78362693</v>
      </c>
      <c r="X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MATCH(X3,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""Unknown""))"),13.711381607562249)</f>
        <v>13.71138161</v>
      </c>
      <c r="Y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MATCH(Y3,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""Unknown""))"),13.641827339122012)</f>
        <v>13.64182734</v>
      </c>
      <c r="Z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MATCH(Z3, IMPORTRANGE(""https://docs.google.com/spreadsheets/d/113Ah55vN7ZtqjRW56fWOsnIaTUko57qPvHiPNGZ2OQ0/edit?usp=sharing"", ""P1!$E$4:$BL$4""), 0)), ""Unknown""), 
IF(IMPORTRANGE(""https://docs.google."&amp;"com/spreadsheets/d/113Ah55vN7ZtqjRW56fWOsnIaTUko57qPvHiPNGZ2OQ0/edit?usp=sharing"", ""P1!$B$11"")=2, 0, ""Unknown""))"),13.570325242392624)</f>
        <v>13.57032524</v>
      </c>
      <c r="AA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MATCH(AA3,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""Unknown""))"),13.501486516161698)</f>
        <v>13.50148652</v>
      </c>
      <c r="AB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MATCH(AB3,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""Unknown""))"),13.430719999999999)</f>
        <v>13.43072</v>
      </c>
      <c r="AC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MATCH(AC3,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""Unknown""))"),13.360324398537479)</f>
        <v>13.3603244</v>
      </c>
      <c r="AD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MATCH(AD3,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""Unknown""))"),13.297058466428263)</f>
        <v>13.29705847</v>
      </c>
      <c r="AE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MATCH(AE3,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""Unknown""))"),13.227363436792734)</f>
        <v>13.22736344</v>
      </c>
      <c r="AF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MATCH(AF3,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""Unknown""))"),13.160264466494082)</f>
        <v>13.16026447</v>
      </c>
      <c r="AG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MATCH(AG3,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""Unknown""))"),13.091286427154074)</f>
        <v>13.09128643</v>
      </c>
      <c r="AH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MATCH(AH3,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""Unknown""))"),13.024877740090757)</f>
        <v>13.02487774</v>
      </c>
      <c r="AI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MATCH(AI3,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""Unknown""))"),12.95660931498105)</f>
        <v>12.95660931</v>
      </c>
      <c r="AJ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MATCH(AJ3,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""Unknown""))"),12.888698711108514)</f>
        <v>12.88869871</v>
      </c>
      <c r="AK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MATCH(AK3,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""Unknown""))"),12.823317698774689)</f>
        <v>12.8233177</v>
      </c>
      <c r="AL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MATCH(AL3,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""Unknown""))"),12.756105727849066)</f>
        <v>12.75610573</v>
      </c>
      <c r="AM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MATCH(AM3,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""Unknown""))"),12.691397325191994)</f>
        <v>12.69139733</v>
      </c>
      <c r="AN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MATCH(AN3,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""Unknown""))"),12.624876799999997)</f>
        <v>12.6248768</v>
      </c>
      <c r="AO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MATCH(AO3,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""Unknown""))"),12.55870493462523)</f>
        <v>12.55870493</v>
      </c>
      <c r="AP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MATCH(AP3,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""Unknown""))"),12.497116247047202)</f>
        <v>12.49711625</v>
      </c>
      <c r="AQ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MATCH(AQ3,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""Unknown""))"),12.43161402417621)</f>
        <v>12.43161402</v>
      </c>
      <c r="AR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MATCH(AR3,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""Unknown""))"),12.368551683433969)</f>
        <v>12.36855168</v>
      </c>
      <c r="AS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MATCH(AS3,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""Unknown""))"),12.303723317197791)</f>
        <v>12.30372332</v>
      </c>
      <c r="AT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MATCH(AT3,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""Unknown""))"),12.241309732709206)</f>
        <v>12.24130973</v>
      </c>
      <c r="AU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MATCH(AU3,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""Unknown""))"),12.177148290781817)</f>
        <v>12.17714829</v>
      </c>
      <c r="AV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MATCH(AV3,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""Unknown""))"),12.11332314380326)</f>
        <v>12.11332314</v>
      </c>
      <c r="AW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MATCH(AW3,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""Unknown""))"),12.051875409813947)</f>
        <v>12.05187541</v>
      </c>
      <c r="AX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MATCH(AX3,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""Unknown""))"),11.988706866487515)</f>
        <v>11.98870687</v>
      </c>
      <c r="AY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MATCH(AY3,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""Unknown""))"),11.927891278422843)</f>
        <v>11.92789128</v>
      </c>
      <c r="AZ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MATCH(AZ3,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""Unknown""))"),11.865372583913235)</f>
        <v>11.86537258</v>
      </c>
      <c r="BA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MATCH(BA3,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""Unknown""))"),11.803181574077469)</f>
        <v>11.80318157</v>
      </c>
      <c r="BB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MATCH(BB3,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""Unknown""))"),11.74728927222437)</f>
        <v>11.74728927</v>
      </c>
      <c r="BC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MATCH(BC3,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""Unknown""))"),11.685717182725638)</f>
        <v>11.68571718</v>
      </c>
      <c r="BD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MATCH(BD3,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""Unknown""))"),11.626438582427932)</f>
        <v>11.62643858</v>
      </c>
      <c r="BE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MATCH(BE3,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""Unknown""))"),11.565499918165923)</f>
        <v>11.56549992</v>
      </c>
      <c r="BF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MATCH(BF3,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""Unknown""))"),11.506831148746654)</f>
        <v>11.50683115</v>
      </c>
      <c r="BG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MATCH(BG3,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""Unknown""))"),11.446519393334906)</f>
        <v>11.44651939</v>
      </c>
      <c r="BH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MATCH(BH3,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""Unknown""))"),11.386523755175062)</f>
        <v>11.38652376</v>
      </c>
      <c r="BI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MATCH(BI3,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""Unknown""))"),11.328762885225109)</f>
        <v>11.32876289</v>
      </c>
      <c r="BJ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MATCH(BJ3,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""Unknown""))"),11.269384454498264)</f>
        <v>11.26938445</v>
      </c>
      <c r="BK14" s="77">
        <f>IFERROR(__xludf.DUMMYFUNCTION("IF(IMPORTRANGE(""https://docs.google.com/spreadsheets/d/113Ah55vN7ZtqjRW56fWOsnIaTUko57qPvHiPNGZ2OQ0/edit?usp=sharing"", ""P1!$B$11"")=1, 
    IFERROR(INDEX(IMPORTRANGE(""https://docs.google.com/spreadsheets/d/113Ah55vN7ZtqjRW56fWOsnIaTUko57qPvHiPNGZ2OQ0/"&amp;"edit?usp=sharing"", ""P1!$E$6:$BL$6""), 
         MATCH(BK3, IMPORTRANGE(""https://docs.google.com/spreadsheets/d/113Ah55vN7ZtqjRW56fWOsnIaTUko57qPvHiPNGZ2OQ0/edit?usp=sharing"", ""P1!$E$4:$BL$4""), 0)), ""Unknown""), 
IF(IMPORTRANGE(""https://docs.google"&amp;".com/spreadsheets/d/113Ah55vN7ZtqjRW56fWOsnIaTUko57qPvHiPNGZ2OQ0/edit?usp=sharing"", ""P1!$B$11"")=2, 0, ""Unknown""))"),11.212217801717474)</f>
        <v>11.2122178</v>
      </c>
      <c r="BL14" s="97">
        <f t="shared" ref="BL14:BL17" si="6">AVERAGE(D14:BK14)</f>
        <v>13.10831729</v>
      </c>
    </row>
    <row r="15" ht="22.5" customHeight="1" outlineLevel="2">
      <c r="A15" s="116"/>
      <c r="B15" s="69"/>
      <c r="C15" s="76" t="s">
        <v>262</v>
      </c>
      <c r="D15" s="102">
        <f>IFERROR(__xludf.DUMMYFUNCTION("IMPORTRANGE(""113Ah55vN7ZtqjRW56fWOsnIaTUko57qPvHiPNGZ2OQ0"",""P1!E14:BL14"")"),0.5980322580645161)</f>
        <v>0.5980322581</v>
      </c>
      <c r="E15" s="102">
        <f>IFERROR(__xludf.DUMMYFUNCTION("""COMPUTED_VALUE"""),0.6460000000000001)</f>
        <v>0.646</v>
      </c>
      <c r="F15" s="102">
        <f>IFERROR(__xludf.DUMMYFUNCTION("""COMPUTED_VALUE"""),0.7239354838709676)</f>
        <v>0.7239354839</v>
      </c>
      <c r="G15" s="102">
        <f>IFERROR(__xludf.DUMMYFUNCTION("""COMPUTED_VALUE"""),0.6091166666666668)</f>
        <v>0.6091166667</v>
      </c>
      <c r="H15" s="102">
        <f>IFERROR(__xludf.DUMMYFUNCTION("""COMPUTED_VALUE"""),0.5887580645161289)</f>
        <v>0.5887580645</v>
      </c>
      <c r="I15" s="102">
        <f>IFERROR(__xludf.DUMMYFUNCTION("""COMPUTED_VALUE"""),0.6110333333333332)</f>
        <v>0.6110333333</v>
      </c>
      <c r="J15" s="102">
        <f>IFERROR(__xludf.DUMMYFUNCTION("""COMPUTED_VALUE"""),0.6885967741935484)</f>
        <v>0.6885967742</v>
      </c>
      <c r="K15" s="102">
        <f>IFERROR(__xludf.DUMMYFUNCTION("""COMPUTED_VALUE"""),0.6928709677419355)</f>
        <v>0.6928709677</v>
      </c>
      <c r="L15" s="102">
        <f>IFERROR(__xludf.DUMMYFUNCTION("""COMPUTED_VALUE"""),0.5429833333333334)</f>
        <v>0.5429833333</v>
      </c>
      <c r="M15" s="102">
        <f>IFERROR(__xludf.DUMMYFUNCTION("""COMPUTED_VALUE"""),0.5027419354838709)</f>
        <v>0.5027419355</v>
      </c>
      <c r="N15" s="102">
        <f>IFERROR(__xludf.DUMMYFUNCTION("""COMPUTED_VALUE"""),0.6626333333333334)</f>
        <v>0.6626333333</v>
      </c>
      <c r="O15" s="102">
        <f>IFERROR(__xludf.DUMMYFUNCTION("""COMPUTED_VALUE"""),0.5708548387096776)</f>
        <v>0.5708548387</v>
      </c>
      <c r="P15" s="109">
        <f>IFERROR(__xludf.DUMMYFUNCTION("""COMPUTED_VALUE"""),0.5980322580645161)</f>
        <v>0.5980322581</v>
      </c>
      <c r="Q15" s="109">
        <f>IFERROR(__xludf.DUMMYFUNCTION("""COMPUTED_VALUE"""),0.6460000000000001)</f>
        <v>0.646</v>
      </c>
      <c r="R15" s="109">
        <f>IFERROR(__xludf.DUMMYFUNCTION("""COMPUTED_VALUE"""),0.7239354838709676)</f>
        <v>0.7239354839</v>
      </c>
      <c r="S15" s="109">
        <f>IFERROR(__xludf.DUMMYFUNCTION("""COMPUTED_VALUE"""),0.6091166666666668)</f>
        <v>0.6091166667</v>
      </c>
      <c r="T15" s="109">
        <f>IFERROR(__xludf.DUMMYFUNCTION("""COMPUTED_VALUE"""),0.5887580645161289)</f>
        <v>0.5887580645</v>
      </c>
      <c r="U15" s="109">
        <f>IFERROR(__xludf.DUMMYFUNCTION("""COMPUTED_VALUE"""),0.6110333333333332)</f>
        <v>0.6110333333</v>
      </c>
      <c r="V15" s="109">
        <f>IFERROR(__xludf.DUMMYFUNCTION("""COMPUTED_VALUE"""),0.6885967741935484)</f>
        <v>0.6885967742</v>
      </c>
      <c r="W15" s="109">
        <f>IFERROR(__xludf.DUMMYFUNCTION("""COMPUTED_VALUE"""),0.6928709677419355)</f>
        <v>0.6928709677</v>
      </c>
      <c r="X15" s="109">
        <f>IFERROR(__xludf.DUMMYFUNCTION("""COMPUTED_VALUE"""),0.5429833333333334)</f>
        <v>0.5429833333</v>
      </c>
      <c r="Y15" s="109">
        <f>IFERROR(__xludf.DUMMYFUNCTION("""COMPUTED_VALUE"""),0.5027419354838709)</f>
        <v>0.5027419355</v>
      </c>
      <c r="Z15" s="109">
        <f>IFERROR(__xludf.DUMMYFUNCTION("""COMPUTED_VALUE"""),0.6626333333333334)</f>
        <v>0.6626333333</v>
      </c>
      <c r="AA15" s="109">
        <f>IFERROR(__xludf.DUMMYFUNCTION("""COMPUTED_VALUE"""),0.5708548387096776)</f>
        <v>0.5708548387</v>
      </c>
      <c r="AB15" s="109">
        <f>IFERROR(__xludf.DUMMYFUNCTION("""COMPUTED_VALUE"""),0.5980322580645161)</f>
        <v>0.5980322581</v>
      </c>
      <c r="AC15" s="109">
        <f>IFERROR(__xludf.DUMMYFUNCTION("""COMPUTED_VALUE"""),0.6460000000000001)</f>
        <v>0.646</v>
      </c>
      <c r="AD15" s="109">
        <f>IFERROR(__xludf.DUMMYFUNCTION("""COMPUTED_VALUE"""),0.7239354838709676)</f>
        <v>0.7239354839</v>
      </c>
      <c r="AE15" s="109">
        <f>IFERROR(__xludf.DUMMYFUNCTION("""COMPUTED_VALUE"""),0.6091166666666668)</f>
        <v>0.6091166667</v>
      </c>
      <c r="AF15" s="109">
        <f>IFERROR(__xludf.DUMMYFUNCTION("""COMPUTED_VALUE"""),0.5887580645161289)</f>
        <v>0.5887580645</v>
      </c>
      <c r="AG15" s="109">
        <f>IFERROR(__xludf.DUMMYFUNCTION("""COMPUTED_VALUE"""),0.6110333333333332)</f>
        <v>0.6110333333</v>
      </c>
      <c r="AH15" s="109">
        <f>IFERROR(__xludf.DUMMYFUNCTION("""COMPUTED_VALUE"""),0.6885967741935484)</f>
        <v>0.6885967742</v>
      </c>
      <c r="AI15" s="109">
        <f>IFERROR(__xludf.DUMMYFUNCTION("""COMPUTED_VALUE"""),0.6928709677419355)</f>
        <v>0.6928709677</v>
      </c>
      <c r="AJ15" s="109">
        <f>IFERROR(__xludf.DUMMYFUNCTION("""COMPUTED_VALUE"""),0.5429833333333334)</f>
        <v>0.5429833333</v>
      </c>
      <c r="AK15" s="109">
        <f>IFERROR(__xludf.DUMMYFUNCTION("""COMPUTED_VALUE"""),0.5027419354838709)</f>
        <v>0.5027419355</v>
      </c>
      <c r="AL15" s="109">
        <f>IFERROR(__xludf.DUMMYFUNCTION("""COMPUTED_VALUE"""),0.6626333333333334)</f>
        <v>0.6626333333</v>
      </c>
      <c r="AM15" s="109">
        <f>IFERROR(__xludf.DUMMYFUNCTION("""COMPUTED_VALUE"""),0.5708548387096776)</f>
        <v>0.5708548387</v>
      </c>
      <c r="AN15" s="109">
        <f>IFERROR(__xludf.DUMMYFUNCTION("""COMPUTED_VALUE"""),0.5980322580645161)</f>
        <v>0.5980322581</v>
      </c>
      <c r="AO15" s="109">
        <f>IFERROR(__xludf.DUMMYFUNCTION("""COMPUTED_VALUE"""),0.6460000000000001)</f>
        <v>0.646</v>
      </c>
      <c r="AP15" s="109">
        <f>IFERROR(__xludf.DUMMYFUNCTION("""COMPUTED_VALUE"""),0.7239354838709676)</f>
        <v>0.7239354839</v>
      </c>
      <c r="AQ15" s="109">
        <f>IFERROR(__xludf.DUMMYFUNCTION("""COMPUTED_VALUE"""),0.6091166666666668)</f>
        <v>0.6091166667</v>
      </c>
      <c r="AR15" s="109">
        <f>IFERROR(__xludf.DUMMYFUNCTION("""COMPUTED_VALUE"""),0.5887580645161289)</f>
        <v>0.5887580645</v>
      </c>
      <c r="AS15" s="109">
        <f>IFERROR(__xludf.DUMMYFUNCTION("""COMPUTED_VALUE"""),0.6110333333333332)</f>
        <v>0.6110333333</v>
      </c>
      <c r="AT15" s="109">
        <f>IFERROR(__xludf.DUMMYFUNCTION("""COMPUTED_VALUE"""),0.6885967741935484)</f>
        <v>0.6885967742</v>
      </c>
      <c r="AU15" s="109">
        <f>IFERROR(__xludf.DUMMYFUNCTION("""COMPUTED_VALUE"""),0.6928709677419355)</f>
        <v>0.6928709677</v>
      </c>
      <c r="AV15" s="109">
        <f>IFERROR(__xludf.DUMMYFUNCTION("""COMPUTED_VALUE"""),0.5429833333333334)</f>
        <v>0.5429833333</v>
      </c>
      <c r="AW15" s="109">
        <f>IFERROR(__xludf.DUMMYFUNCTION("""COMPUTED_VALUE"""),0.5027419354838709)</f>
        <v>0.5027419355</v>
      </c>
      <c r="AX15" s="109">
        <f>IFERROR(__xludf.DUMMYFUNCTION("""COMPUTED_VALUE"""),0.6626333333333334)</f>
        <v>0.6626333333</v>
      </c>
      <c r="AY15" s="109">
        <f>IFERROR(__xludf.DUMMYFUNCTION("""COMPUTED_VALUE"""),0.5708548387096776)</f>
        <v>0.5708548387</v>
      </c>
      <c r="AZ15" s="109">
        <f>IFERROR(__xludf.DUMMYFUNCTION("""COMPUTED_VALUE"""),0.5980322580645161)</f>
        <v>0.5980322581</v>
      </c>
      <c r="BA15" s="109">
        <f>IFERROR(__xludf.DUMMYFUNCTION("""COMPUTED_VALUE"""),0.6460000000000001)</f>
        <v>0.646</v>
      </c>
      <c r="BB15" s="109">
        <f>IFERROR(__xludf.DUMMYFUNCTION("""COMPUTED_VALUE"""),0.7239354838709676)</f>
        <v>0.7239354839</v>
      </c>
      <c r="BC15" s="109">
        <f>IFERROR(__xludf.DUMMYFUNCTION("""COMPUTED_VALUE"""),0.6091166666666668)</f>
        <v>0.6091166667</v>
      </c>
      <c r="BD15" s="109">
        <f>IFERROR(__xludf.DUMMYFUNCTION("""COMPUTED_VALUE"""),0.5887580645161289)</f>
        <v>0.5887580645</v>
      </c>
      <c r="BE15" s="109">
        <f>IFERROR(__xludf.DUMMYFUNCTION("""COMPUTED_VALUE"""),0.6110333333333332)</f>
        <v>0.6110333333</v>
      </c>
      <c r="BF15" s="109">
        <f>IFERROR(__xludf.DUMMYFUNCTION("""COMPUTED_VALUE"""),0.6885967741935484)</f>
        <v>0.6885967742</v>
      </c>
      <c r="BG15" s="109">
        <f>IFERROR(__xludf.DUMMYFUNCTION("""COMPUTED_VALUE"""),0.6928709677419355)</f>
        <v>0.6928709677</v>
      </c>
      <c r="BH15" s="109">
        <f>IFERROR(__xludf.DUMMYFUNCTION("""COMPUTED_VALUE"""),0.5429833333333334)</f>
        <v>0.5429833333</v>
      </c>
      <c r="BI15" s="109">
        <f>IFERROR(__xludf.DUMMYFUNCTION("""COMPUTED_VALUE"""),0.5027419354838709)</f>
        <v>0.5027419355</v>
      </c>
      <c r="BJ15" s="109">
        <f>IFERROR(__xludf.DUMMYFUNCTION("""COMPUTED_VALUE"""),0.6626333333333334)</f>
        <v>0.6626333333</v>
      </c>
      <c r="BK15" s="109">
        <f>IFERROR(__xludf.DUMMYFUNCTION("""COMPUTED_VALUE"""),0.5708548387096776)</f>
        <v>0.5708548387</v>
      </c>
      <c r="BL15" s="109">
        <f t="shared" si="6"/>
        <v>0.6197964158</v>
      </c>
    </row>
    <row r="16" ht="22.5" customHeight="1" outlineLevel="2">
      <c r="A16" s="116"/>
      <c r="B16" s="69"/>
      <c r="C16" s="76" t="s">
        <v>291</v>
      </c>
      <c r="D16" s="114">
        <f>IFERROR(__xludf.DUMMYFUNCTION("IMPORTRANGE(""113Ah55vN7ZtqjRW56fWOsnIaTUko57qPvHiPNGZ2OQ0"",""P1!E15:BL15"")"),1475.0813306014436)</f>
        <v>1475.081331</v>
      </c>
      <c r="E16" s="114">
        <f>IFERROR(__xludf.DUMMYFUNCTION("""COMPUTED_VALUE"""),1515.835699392831)</f>
        <v>1515.835699</v>
      </c>
      <c r="F16" s="114">
        <f>IFERROR(__xludf.DUMMYFUNCTION("""COMPUTED_VALUE"""),1490.885538247655)</f>
        <v>1490.885538</v>
      </c>
      <c r="G16" s="114">
        <f>IFERROR(__xludf.DUMMYFUNCTION("""COMPUTED_VALUE"""),1485.77453554034)</f>
        <v>1485.774536</v>
      </c>
      <c r="H16" s="114">
        <f>IFERROR(__xludf.DUMMYFUNCTION("""COMPUTED_VALUE"""),1527.001079424367)</f>
        <v>1527.001079</v>
      </c>
      <c r="I16" s="114">
        <f>IFERROR(__xludf.DUMMYFUNCTION("""COMPUTED_VALUE"""),1518.7389908715422)</f>
        <v>1518.738991</v>
      </c>
      <c r="J16" s="114">
        <f>IFERROR(__xludf.DUMMYFUNCTION("""COMPUTED_VALUE"""),1492.597660742661)</f>
        <v>1492.597661</v>
      </c>
      <c r="K16" s="114">
        <f>IFERROR(__xludf.DUMMYFUNCTION("""COMPUTED_VALUE"""),1540.1419854116796)</f>
        <v>1540.141985</v>
      </c>
      <c r="L16" s="114">
        <f>IFERROR(__xludf.DUMMYFUNCTION("""COMPUTED_VALUE"""),1471.7117174403318)</f>
        <v>1471.711717</v>
      </c>
      <c r="M16" s="114">
        <f>IFERROR(__xludf.DUMMYFUNCTION("""COMPUTED_VALUE"""),1468.5547781845821)</f>
        <v>1468.554778</v>
      </c>
      <c r="N16" s="114">
        <f>IFERROR(__xludf.DUMMYFUNCTION("""COMPUTED_VALUE"""),1592.6746350650806)</f>
        <v>1592.674635</v>
      </c>
      <c r="O16" s="114">
        <f>IFERROR(__xludf.DUMMYFUNCTION("""COMPUTED_VALUE"""),1571.406512852541)</f>
        <v>1571.406513</v>
      </c>
      <c r="P16" s="115">
        <f>IFERROR(__xludf.DUMMYFUNCTION("""COMPUTED_VALUE"""),1534.0845838255013)</f>
        <v>1534.084584</v>
      </c>
      <c r="Q16" s="115">
        <f>IFERROR(__xludf.DUMMYFUNCTION("""COMPUTED_VALUE"""),1576.469127368544)</f>
        <v>1576.469127</v>
      </c>
      <c r="R16" s="115">
        <f>IFERROR(__xludf.DUMMYFUNCTION("""COMPUTED_VALUE"""),1550.5209597775613)</f>
        <v>1550.52096</v>
      </c>
      <c r="S16" s="115">
        <f>IFERROR(__xludf.DUMMYFUNCTION("""COMPUTED_VALUE"""),1545.2055169619537)</f>
        <v>1545.205517</v>
      </c>
      <c r="T16" s="115">
        <f>IFERROR(__xludf.DUMMYFUNCTION("""COMPUTED_VALUE"""),1588.0811226013413)</f>
        <v>1588.081123</v>
      </c>
      <c r="U16" s="115">
        <f>IFERROR(__xludf.DUMMYFUNCTION("""COMPUTED_VALUE"""),1579.4885505064042)</f>
        <v>1579.488551</v>
      </c>
      <c r="V16" s="115">
        <f>IFERROR(__xludf.DUMMYFUNCTION("""COMPUTED_VALUE"""),1552.3015671723674)</f>
        <v>1552.301567</v>
      </c>
      <c r="W16" s="115">
        <f>IFERROR(__xludf.DUMMYFUNCTION("""COMPUTED_VALUE"""),1601.7476648281468)</f>
        <v>1601.747665</v>
      </c>
      <c r="X16" s="115">
        <f>IFERROR(__xludf.DUMMYFUNCTION("""COMPUTED_VALUE"""),1530.580186137945)</f>
        <v>1530.580186</v>
      </c>
      <c r="Y16" s="115">
        <f>IFERROR(__xludf.DUMMYFUNCTION("""COMPUTED_VALUE"""),1527.2969693119658)</f>
        <v>1527.296969</v>
      </c>
      <c r="Z16" s="115">
        <f>IFERROR(__xludf.DUMMYFUNCTION("""COMPUTED_VALUE"""),1656.381620467684)</f>
        <v>1656.38162</v>
      </c>
      <c r="AA16" s="115">
        <f>IFERROR(__xludf.DUMMYFUNCTION("""COMPUTED_VALUE"""),1634.2627733666432)</f>
        <v>1634.262773</v>
      </c>
      <c r="AB16" s="115">
        <f>IFERROR(__xludf.DUMMYFUNCTION("""COMPUTED_VALUE"""),1595.4479671785216)</f>
        <v>1595.447967</v>
      </c>
      <c r="AC16" s="115">
        <f>IFERROR(__xludf.DUMMYFUNCTION("""COMPUTED_VALUE"""),1639.5278924632858)</f>
        <v>1639.527892</v>
      </c>
      <c r="AD16" s="115">
        <f>IFERROR(__xludf.DUMMYFUNCTION("""COMPUTED_VALUE"""),1612.541798168664)</f>
        <v>1612.541798</v>
      </c>
      <c r="AE16" s="115">
        <f>IFERROR(__xludf.DUMMYFUNCTION("""COMPUTED_VALUE"""),1607.0137376404316)</f>
        <v>1607.013738</v>
      </c>
      <c r="AF16" s="115">
        <f>IFERROR(__xludf.DUMMYFUNCTION("""COMPUTED_VALUE"""),1651.6043675053957)</f>
        <v>1651.604368</v>
      </c>
      <c r="AG16" s="115">
        <f>IFERROR(__xludf.DUMMYFUNCTION("""COMPUTED_VALUE"""),1642.6680925266603)</f>
        <v>1642.668093</v>
      </c>
      <c r="AH16" s="115">
        <f>IFERROR(__xludf.DUMMYFUNCTION("""COMPUTED_VALUE"""),1614.3936298592625)</f>
        <v>1614.39363</v>
      </c>
      <c r="AI16" s="115">
        <f>IFERROR(__xludf.DUMMYFUNCTION("""COMPUTED_VALUE"""),1665.8175714212728)</f>
        <v>1665.817571</v>
      </c>
      <c r="AJ16" s="115">
        <f>IFERROR(__xludf.DUMMYFUNCTION("""COMPUTED_VALUE"""),1591.803393583463)</f>
        <v>1591.803394</v>
      </c>
      <c r="AK16" s="115">
        <f>IFERROR(__xludf.DUMMYFUNCTION("""COMPUTED_VALUE"""),1588.3888480844444)</f>
        <v>1588.388848</v>
      </c>
      <c r="AL16" s="115">
        <f>IFERROR(__xludf.DUMMYFUNCTION("""COMPUTED_VALUE"""),1722.6368852863914)</f>
        <v>1722.636885</v>
      </c>
      <c r="AM16" s="115">
        <f>IFERROR(__xludf.DUMMYFUNCTION("""COMPUTED_VALUE"""),1699.6332843013088)</f>
        <v>1699.633284</v>
      </c>
      <c r="AN16" s="115">
        <f>IFERROR(__xludf.DUMMYFUNCTION("""COMPUTED_VALUE"""),1659.2658858656625)</f>
        <v>1659.265886</v>
      </c>
      <c r="AO16" s="115">
        <f>IFERROR(__xludf.DUMMYFUNCTION("""COMPUTED_VALUE"""),1705.1090081618172)</f>
        <v>1705.109008</v>
      </c>
      <c r="AP16" s="115">
        <f>IFERROR(__xludf.DUMMYFUNCTION("""COMPUTED_VALUE"""),1677.04347009541)</f>
        <v>1677.04347</v>
      </c>
      <c r="AQ16" s="115">
        <f>IFERROR(__xludf.DUMMYFUNCTION("""COMPUTED_VALUE"""),1671.294287146049)</f>
        <v>1671.294287</v>
      </c>
      <c r="AR16" s="115">
        <f>IFERROR(__xludf.DUMMYFUNCTION("""COMPUTED_VALUE"""),1717.668542205611)</f>
        <v>1717.668542</v>
      </c>
      <c r="AS16" s="115">
        <f>IFERROR(__xludf.DUMMYFUNCTION("""COMPUTED_VALUE"""),1708.3748162277268)</f>
        <v>1708.374816</v>
      </c>
      <c r="AT16" s="115">
        <f>IFERROR(__xludf.DUMMYFUNCTION("""COMPUTED_VALUE"""),1678.969375053633)</f>
        <v>1678.969375</v>
      </c>
      <c r="AU16" s="115">
        <f>IFERROR(__xludf.DUMMYFUNCTION("""COMPUTED_VALUE"""),1732.4502742781237)</f>
        <v>1732.450274</v>
      </c>
      <c r="AV16" s="115">
        <f>IFERROR(__xludf.DUMMYFUNCTION("""COMPUTED_VALUE"""),1655.4755293268015)</f>
        <v>1655.475529</v>
      </c>
      <c r="AW16" s="115">
        <f>IFERROR(__xludf.DUMMYFUNCTION("""COMPUTED_VALUE"""),1651.9244020078224)</f>
        <v>1651.924402</v>
      </c>
      <c r="AX16" s="115">
        <f>IFERROR(__xludf.DUMMYFUNCTION("""COMPUTED_VALUE"""),1791.5423606978468)</f>
        <v>1791.542361</v>
      </c>
      <c r="AY16" s="115">
        <f>IFERROR(__xludf.DUMMYFUNCTION("""COMPUTED_VALUE"""),1767.6186156733609)</f>
        <v>1767.618616</v>
      </c>
      <c r="AZ16" s="115">
        <f>IFERROR(__xludf.DUMMYFUNCTION("""COMPUTED_VALUE"""),1725.6365213002894)</f>
        <v>1725.636521</v>
      </c>
      <c r="BA16" s="115">
        <f>IFERROR(__xludf.DUMMYFUNCTION("""COMPUTED_VALUE"""),1773.31336848829)</f>
        <v>1773.313368</v>
      </c>
      <c r="BB16" s="115">
        <f>IFERROR(__xludf.DUMMYFUNCTION("""COMPUTED_VALUE"""),1744.1252088992264)</f>
        <v>1744.125209</v>
      </c>
      <c r="BC16" s="115">
        <f>IFERROR(__xludf.DUMMYFUNCTION("""COMPUTED_VALUE"""),1738.1460586318913)</f>
        <v>1738.146059</v>
      </c>
      <c r="BD16" s="115">
        <f>IFERROR(__xludf.DUMMYFUNCTION("""COMPUTED_VALUE"""),1786.3752838938358)</f>
        <v>1786.375284</v>
      </c>
      <c r="BE16" s="115">
        <f>IFERROR(__xludf.DUMMYFUNCTION("""COMPUTED_VALUE"""),1776.7098088768362)</f>
        <v>1776.709809</v>
      </c>
      <c r="BF16" s="115">
        <f>IFERROR(__xludf.DUMMYFUNCTION("""COMPUTED_VALUE"""),1746.1281500557784)</f>
        <v>1746.12815</v>
      </c>
      <c r="BG16" s="115">
        <f>IFERROR(__xludf.DUMMYFUNCTION("""COMPUTED_VALUE"""),1801.7482852492485)</f>
        <v>1801.748285</v>
      </c>
      <c r="BH16" s="115">
        <f>IFERROR(__xludf.DUMMYFUNCTION("""COMPUTED_VALUE"""),1721.6945504998737)</f>
        <v>1721.69455</v>
      </c>
      <c r="BI16" s="115">
        <f>IFERROR(__xludf.DUMMYFUNCTION("""COMPUTED_VALUE"""),1718.0013780881352)</f>
        <v>1718.001378</v>
      </c>
      <c r="BJ16" s="115">
        <f>IFERROR(__xludf.DUMMYFUNCTION("""COMPUTED_VALUE"""),1863.204055125761)</f>
        <v>1863.204055</v>
      </c>
      <c r="BK16" s="115">
        <f>IFERROR(__xludf.DUMMYFUNCTION("""COMPUTED_VALUE"""),1838.323360300296)</f>
        <v>1838.32336</v>
      </c>
      <c r="BL16" s="114">
        <f t="shared" si="6"/>
        <v>1638.474086</v>
      </c>
    </row>
    <row r="17" ht="22.5" customHeight="1" outlineLevel="2">
      <c r="A17" s="116"/>
      <c r="B17" s="69"/>
      <c r="C17" s="76" t="s">
        <v>297</v>
      </c>
      <c r="D17" s="114">
        <f>IFERROR(__xludf.DUMMYFUNCTION("IMPORTRANGE(""113Ah55vN7ZtqjRW56fWOsnIaTUko57qPvHiPNGZ2OQ0"",""P1!E13:BL13"")"),882.1462189683923)</f>
        <v>882.146219</v>
      </c>
      <c r="E17" s="114">
        <f>IFERROR(__xludf.DUMMYFUNCTION("""COMPUTED_VALUE"""),979.229861807769)</f>
        <v>979.2298618</v>
      </c>
      <c r="F17" s="114">
        <f>IFERROR(__xludf.DUMMYFUNCTION("""COMPUTED_VALUE"""),1079.304943527544)</f>
        <v>1079.304944</v>
      </c>
      <c r="G17" s="114">
        <f>IFERROR(__xludf.DUMMYFUNCTION("""COMPUTED_VALUE"""),905.0100325065468)</f>
        <v>905.0100325</v>
      </c>
      <c r="H17" s="114">
        <f>IFERROR(__xludf.DUMMYFUNCTION("""COMPUTED_VALUE"""),899.0342000359299)</f>
        <v>899.0342</v>
      </c>
      <c r="I17" s="114">
        <f>IFERROR(__xludf.DUMMYFUNCTION("""COMPUTED_VALUE"""),928.0001480555412)</f>
        <v>928.0001481</v>
      </c>
      <c r="J17" s="114">
        <f>IFERROR(__xludf.DUMMYFUNCTION("""COMPUTED_VALUE"""),1027.7979343562326)</f>
        <v>1027.797934</v>
      </c>
      <c r="K17" s="114">
        <f>IFERROR(__xludf.DUMMYFUNCTION("""COMPUTED_VALUE"""),1067.1196678921763)</f>
        <v>1067.119668</v>
      </c>
      <c r="L17" s="114">
        <f>IFERROR(__xludf.DUMMYFUNCTION("""COMPUTED_VALUE"""),799.1149340414762)</f>
        <v>799.114934</v>
      </c>
      <c r="M17" s="114">
        <f>IFERROR(__xludf.DUMMYFUNCTION("""COMPUTED_VALUE"""),738.3040715486036)</f>
        <v>738.3040715</v>
      </c>
      <c r="N17" s="114">
        <f>IFERROR(__xludf.DUMMYFUNCTION("""COMPUTED_VALUE"""),1055.3593023486246)</f>
        <v>1055.359302</v>
      </c>
      <c r="O17" s="114">
        <f>IFERROR(__xludf.DUMMYFUNCTION("""COMPUTED_VALUE"""),897.0450114417741)</f>
        <v>897.0450114</v>
      </c>
      <c r="P17" s="115">
        <f>IFERROR(__xludf.DUMMYFUNCTION("""COMPUTED_VALUE"""),917.432067727128)</f>
        <v>917.4320677</v>
      </c>
      <c r="Q17" s="115">
        <f>IFERROR(__xludf.DUMMYFUNCTION("""COMPUTED_VALUE"""),1018.3990562800795)</f>
        <v>1018.399056</v>
      </c>
      <c r="R17" s="115">
        <f>IFERROR(__xludf.DUMMYFUNCTION("""COMPUTED_VALUE"""),1122.477141268646)</f>
        <v>1122.477141</v>
      </c>
      <c r="S17" s="115">
        <f>IFERROR(__xludf.DUMMYFUNCTION("""COMPUTED_VALUE"""),941.2104338068089)</f>
        <v>941.2104338</v>
      </c>
      <c r="T17" s="115">
        <f>IFERROR(__xludf.DUMMYFUNCTION("""COMPUTED_VALUE"""),934.995568037367)</f>
        <v>934.995568</v>
      </c>
      <c r="U17" s="115">
        <f>IFERROR(__xludf.DUMMYFUNCTION("""COMPUTED_VALUE"""),965.1201539777629)</f>
        <v>965.120154</v>
      </c>
      <c r="V17" s="115">
        <f>IFERROR(__xludf.DUMMYFUNCTION("""COMPUTED_VALUE"""),1068.909851730482)</f>
        <v>1068.909852</v>
      </c>
      <c r="W17" s="115">
        <f>IFERROR(__xludf.DUMMYFUNCTION("""COMPUTED_VALUE"""),1109.8044546078634)</f>
        <v>1109.804455</v>
      </c>
      <c r="X17" s="115">
        <f>IFERROR(__xludf.DUMMYFUNCTION("""COMPUTED_VALUE"""),831.0795314031352)</f>
        <v>831.0795314</v>
      </c>
      <c r="Y17" s="115">
        <f>IFERROR(__xludf.DUMMYFUNCTION("""COMPUTED_VALUE"""),767.8362344105478)</f>
        <v>767.8362344</v>
      </c>
      <c r="Z17" s="115">
        <f>IFERROR(__xludf.DUMMYFUNCTION("""COMPUTED_VALUE"""),1097.5736744425697)</f>
        <v>1097.573674</v>
      </c>
      <c r="AA17" s="115">
        <f>IFERROR(__xludf.DUMMYFUNCTION("""COMPUTED_VALUE"""),932.9268118994454)</f>
        <v>932.9268119</v>
      </c>
      <c r="AB17" s="115">
        <f>IFERROR(__xludf.DUMMYFUNCTION("""COMPUTED_VALUE"""),954.1293504362133)</f>
        <v>954.1293504</v>
      </c>
      <c r="AC17" s="115">
        <f>IFERROR(__xludf.DUMMYFUNCTION("""COMPUTED_VALUE"""),1059.1350185312829)</f>
        <v>1059.135019</v>
      </c>
      <c r="AD17" s="115">
        <f>IFERROR(__xludf.DUMMYFUNCTION("""COMPUTED_VALUE"""),1167.376226919392)</f>
        <v>1167.376227</v>
      </c>
      <c r="AE17" s="115">
        <f>IFERROR(__xludf.DUMMYFUNCTION("""COMPUTED_VALUE"""),978.858851159081)</f>
        <v>978.8588512</v>
      </c>
      <c r="AF17" s="115">
        <f>IFERROR(__xludf.DUMMYFUNCTION("""COMPUTED_VALUE"""),972.3953907588619)</f>
        <v>972.3953908</v>
      </c>
      <c r="AG17" s="115">
        <f>IFERROR(__xludf.DUMMYFUNCTION("""COMPUTED_VALUE"""),1003.7249601368735)</f>
        <v>1003.72496</v>
      </c>
      <c r="AH17" s="115">
        <f>IFERROR(__xludf.DUMMYFUNCTION("""COMPUTED_VALUE"""),1111.6662457997015)</f>
        <v>1111.666246</v>
      </c>
      <c r="AI17" s="115">
        <f>IFERROR(__xludf.DUMMYFUNCTION("""COMPUTED_VALUE"""),1154.196632792178)</f>
        <v>1154.196633</v>
      </c>
      <c r="AJ17" s="115">
        <f>IFERROR(__xludf.DUMMYFUNCTION("""COMPUTED_VALUE"""),864.3227126592608)</f>
        <v>864.3227127</v>
      </c>
      <c r="AK17" s="115">
        <f>IFERROR(__xludf.DUMMYFUNCTION("""COMPUTED_VALUE"""),798.5496837869698)</f>
        <v>798.5496838</v>
      </c>
      <c r="AL17" s="115">
        <f>IFERROR(__xludf.DUMMYFUNCTION("""COMPUTED_VALUE"""),1141.4766214202725)</f>
        <v>1141.476621</v>
      </c>
      <c r="AM17" s="115">
        <f>IFERROR(__xludf.DUMMYFUNCTION("""COMPUTED_VALUE"""),970.2438843754231)</f>
        <v>970.2438844</v>
      </c>
      <c r="AN17" s="115">
        <f>IFERROR(__xludf.DUMMYFUNCTION("""COMPUTED_VALUE"""),992.2945244536618)</f>
        <v>992.2945245</v>
      </c>
      <c r="AO17" s="115">
        <f>IFERROR(__xludf.DUMMYFUNCTION("""COMPUTED_VALUE"""),1101.5004192725341)</f>
        <v>1101.500419</v>
      </c>
      <c r="AP17" s="115">
        <f>IFERROR(__xludf.DUMMYFUNCTION("""COMPUTED_VALUE"""),1214.0712759961673)</f>
        <v>1214.071276</v>
      </c>
      <c r="AQ17" s="115">
        <f>IFERROR(__xludf.DUMMYFUNCTION("""COMPUTED_VALUE"""),1018.0132052054445)</f>
        <v>1018.013205</v>
      </c>
      <c r="AR17" s="115">
        <f>IFERROR(__xludf.DUMMYFUNCTION("""COMPUTED_VALUE"""),1011.2912063892162)</f>
        <v>1011.291206</v>
      </c>
      <c r="AS17" s="115">
        <f>IFERROR(__xludf.DUMMYFUNCTION("""COMPUTED_VALUE"""),1043.8739585423484)</f>
        <v>1043.873959</v>
      </c>
      <c r="AT17" s="115">
        <f>IFERROR(__xludf.DUMMYFUNCTION("""COMPUTED_VALUE"""),1156.1328956316895)</f>
        <v>1156.132896</v>
      </c>
      <c r="AU17" s="115">
        <f>IFERROR(__xludf.DUMMYFUNCTION("""COMPUTED_VALUE"""),1200.3644981038651)</f>
        <v>1200.364498</v>
      </c>
      <c r="AV17" s="115">
        <f>IFERROR(__xludf.DUMMYFUNCTION("""COMPUTED_VALUE"""),898.8956211656312)</f>
        <v>898.8956212</v>
      </c>
      <c r="AW17" s="115">
        <f>IFERROR(__xludf.DUMMYFUNCTION("""COMPUTED_VALUE"""),830.4916711384487)</f>
        <v>830.4916711</v>
      </c>
      <c r="AX17" s="115">
        <f>IFERROR(__xludf.DUMMYFUNCTION("""COMPUTED_VALUE"""),1187.1356862770833)</f>
        <v>1187.135686</v>
      </c>
      <c r="AY17" s="115">
        <f>IFERROR(__xludf.DUMMYFUNCTION("""COMPUTED_VALUE"""),1009.05363975044)</f>
        <v>1009.05364</v>
      </c>
      <c r="AZ17" s="115">
        <f>IFERROR(__xludf.DUMMYFUNCTION("""COMPUTED_VALUE"""),1031.9863054318084)</f>
        <v>1031.986305</v>
      </c>
      <c r="BA17" s="115">
        <f>IFERROR(__xludf.DUMMYFUNCTION("""COMPUTED_VALUE"""),1145.5604360434356)</f>
        <v>1145.560436</v>
      </c>
      <c r="BB17" s="115">
        <f>IFERROR(__xludf.DUMMYFUNCTION("""COMPUTED_VALUE"""),1262.634127036014)</f>
        <v>1262.634127</v>
      </c>
      <c r="BC17" s="115">
        <f>IFERROR(__xludf.DUMMYFUNCTION("""COMPUTED_VALUE"""),1058.7337334136623)</f>
        <v>1058.733733</v>
      </c>
      <c r="BD17" s="115">
        <f>IFERROR(__xludf.DUMMYFUNCTION("""COMPUTED_VALUE"""),1051.742854644785)</f>
        <v>1051.742855</v>
      </c>
      <c r="BE17" s="115">
        <f>IFERROR(__xludf.DUMMYFUNCTION("""COMPUTED_VALUE"""),1085.6289168840426)</f>
        <v>1085.628917</v>
      </c>
      <c r="BF17" s="115">
        <f>IFERROR(__xludf.DUMMYFUNCTION("""COMPUTED_VALUE"""),1202.3782114569572)</f>
        <v>1202.378211</v>
      </c>
      <c r="BG17" s="115">
        <f>IFERROR(__xludf.DUMMYFUNCTION("""COMPUTED_VALUE"""),1248.3790780280196)</f>
        <v>1248.379078</v>
      </c>
      <c r="BH17" s="115">
        <f>IFERROR(__xludf.DUMMYFUNCTION("""COMPUTED_VALUE"""),934.8514460122565)</f>
        <v>934.851446</v>
      </c>
      <c r="BI17" s="115">
        <f>IFERROR(__xludf.DUMMYFUNCTION("""COMPUTED_VALUE"""),863.7113379839866)</f>
        <v>863.711338</v>
      </c>
      <c r="BJ17" s="115">
        <f>IFERROR(__xludf.DUMMYFUNCTION("""COMPUTED_VALUE"""),1234.6211137281668)</f>
        <v>1234.621114</v>
      </c>
      <c r="BK17" s="115">
        <f>IFERROR(__xludf.DUMMYFUNCTION("""COMPUTED_VALUE"""),1049.415785340458)</f>
        <v>1049.415785</v>
      </c>
      <c r="BL17" s="114">
        <f t="shared" si="6"/>
        <v>1016.234481</v>
      </c>
    </row>
    <row r="18" ht="22.5" customHeight="1" outlineLevel="1">
      <c r="A18" s="69"/>
      <c r="B18" s="70" t="s">
        <v>399</v>
      </c>
      <c r="C18" s="71"/>
      <c r="D18" s="72">
        <f>((D8+D13)*PctReparto)-((D9*CuotaSeg1)+(D14*CuotaSeg2))</f>
        <v>662588.4509</v>
      </c>
      <c r="E18" s="72">
        <f>((E8+E13)*PctReparto)-((E9*CuotaSeg1)+(E14*CuotaSeg2))</f>
        <v>698022.2867</v>
      </c>
      <c r="F18" s="72">
        <f>((F8+F13)*PctReparto)-((F9*CuotaSeg1)+(F14*CuotaSeg2))</f>
        <v>712786.5153</v>
      </c>
      <c r="G18" s="72">
        <f>((G8+G13)*PctReparto)-((G9*CuotaSeg1)+(G14*CuotaSeg2))</f>
        <v>673390.4911</v>
      </c>
      <c r="H18" s="72">
        <f>((H8+H13)*PctReparto)-((H9*CuotaSeg1)+(H14*CuotaSeg2))</f>
        <v>691853.0554</v>
      </c>
      <c r="I18" s="72">
        <f>((I8+I13)*PctReparto)-((I9*CuotaSeg1)+(I14*CuotaSeg2))</f>
        <v>690944.5507</v>
      </c>
      <c r="J18" s="72">
        <f>((J8+J13)*PctReparto)-((J9*CuotaSeg1)+(J14*CuotaSeg2))</f>
        <v>732679.3592</v>
      </c>
      <c r="K18" s="72">
        <f>((K8+K13)*PctReparto)-((K9*CuotaSeg1)+(K14*CuotaSeg2))</f>
        <v>728444.1344</v>
      </c>
      <c r="L18" s="72">
        <f>((L8+L13)*PctReparto)-((L9*CuotaSeg1)+(L14*CuotaSeg2))</f>
        <v>614939.7314</v>
      </c>
      <c r="M18" s="72">
        <f>((M8+M13)*PctReparto)-((M9*CuotaSeg1)+(M14*CuotaSeg2))</f>
        <v>588588.2276</v>
      </c>
      <c r="N18" s="72">
        <f>((N8+N13)*PctReparto)-((N9*CuotaSeg1)+(N14*CuotaSeg2))</f>
        <v>731572.7976</v>
      </c>
      <c r="O18" s="72">
        <f>((O8+O13)*PctReparto)-((O9*CuotaSeg1)+(O14*CuotaSeg2))</f>
        <v>662734.8883</v>
      </c>
      <c r="P18" s="73">
        <f>((P8+P13)*PctReparto)-((P9*CuotaSeg1)+(P14*CuotaSeg2))</f>
        <v>651044.7543</v>
      </c>
      <c r="Q18" s="73">
        <f>((Q8+Q13)*PctReparto)-((Q9*CuotaSeg1)+(Q14*CuotaSeg2))</f>
        <v>685667.5846</v>
      </c>
      <c r="R18" s="73">
        <f>((R8+R13)*PctReparto)-((R9*CuotaSeg1)+(R14*CuotaSeg2))</f>
        <v>700085.5579</v>
      </c>
      <c r="S18" s="73">
        <f>((S8+S13)*PctReparto)-((S9*CuotaSeg1)+(S14*CuotaSeg2))</f>
        <v>661554.8891</v>
      </c>
      <c r="T18" s="73">
        <f>((T8+T13)*PctReparto)-((T9*CuotaSeg1)+(T14*CuotaSeg2))</f>
        <v>679587.4139</v>
      </c>
      <c r="U18" s="73">
        <f>((U8+U13)*PctReparto)-((U9*CuotaSeg1)+(U14*CuotaSeg2))</f>
        <v>678682.3203</v>
      </c>
      <c r="V18" s="73">
        <f>((V8+V13)*PctReparto)-((V9*CuotaSeg1)+(V14*CuotaSeg2))</f>
        <v>719465.9605</v>
      </c>
      <c r="W18" s="73">
        <f>((W8+W13)*PctReparto)-((W9*CuotaSeg1)+(W14*CuotaSeg2))</f>
        <v>715308.8396</v>
      </c>
      <c r="X18" s="73">
        <f>((X8+X13)*PctReparto)-((X9*CuotaSeg1)+(X14*CuotaSeg2))</f>
        <v>604330.2579</v>
      </c>
      <c r="Y18" s="73">
        <f>((Y8+Y13)*PctReparto)-((Y9*CuotaSeg1)+(Y14*CuotaSeg2))</f>
        <v>578552.9716</v>
      </c>
      <c r="Z18" s="73">
        <f>((Z8+Z13)*PctReparto)-((Z9*CuotaSeg1)+(Z14*CuotaSeg2))</f>
        <v>718318.1815</v>
      </c>
      <c r="AA18" s="73">
        <f>((AA8+AA13)*PctReparto)-((AA9*CuotaSeg1)+(AA14*CuotaSeg2))</f>
        <v>651006.3505</v>
      </c>
      <c r="AB18" s="73">
        <f>((AB8+AB13)*PctReparto)-((AB9*CuotaSeg1)+(AB14*CuotaSeg2))</f>
        <v>639561.7395</v>
      </c>
      <c r="AC18" s="73">
        <f>((AC8+AC13)*PctReparto)-((AC9*CuotaSeg1)+(AC14*CuotaSeg2))</f>
        <v>673392.7681</v>
      </c>
      <c r="AD18" s="73">
        <f>((AD8+AD13)*PctReparto)-((AD9*CuotaSeg1)+(AD14*CuotaSeg2))</f>
        <v>687473.1743</v>
      </c>
      <c r="AE18" s="73">
        <f>((AE8+AE13)*PctReparto)-((AE9*CuotaSeg1)+(AE14*CuotaSeg2))</f>
        <v>649789.5038</v>
      </c>
      <c r="AF18" s="73">
        <f>((AF8+AF13)*PctReparto)-((AF9*CuotaSeg1)+(AF14*CuotaSeg2))</f>
        <v>667402.6108</v>
      </c>
      <c r="AG18" s="73">
        <f>((AG8+AG13)*PctReparto)-((AG9*CuotaSeg1)+(AG14*CuotaSeg2))</f>
        <v>666501.8681</v>
      </c>
      <c r="AH18" s="73">
        <f>((AH8+AH13)*PctReparto)-((AH9*CuotaSeg1)+(AH14*CuotaSeg2))</f>
        <v>706356.6248</v>
      </c>
      <c r="AI18" s="73">
        <f>((AI8+AI13)*PctReparto)-((AI9*CuotaSeg1)+(AI14*CuotaSeg2))</f>
        <v>702276.8641</v>
      </c>
      <c r="AJ18" s="73">
        <f>((AJ8+AJ13)*PctReparto)-((AJ9*CuotaSeg1)+(AJ14*CuotaSeg2))</f>
        <v>593768.526</v>
      </c>
      <c r="AK18" s="73">
        <f>((AK8+AK13)*PctReparto)-((AK9*CuotaSeg1)+(AK14*CuotaSeg2))</f>
        <v>568553.5582</v>
      </c>
      <c r="AL18" s="73">
        <f>((AL8+AL13)*PctReparto)-((AL9*CuotaSeg1)+(AL14*CuotaSeg2))</f>
        <v>705172.512</v>
      </c>
      <c r="AM18" s="73">
        <f>((AM8+AM13)*PctReparto)-((AM9*CuotaSeg1)+(AM14*CuotaSeg2))</f>
        <v>639353.5284</v>
      </c>
      <c r="AN18" s="73">
        <f>((AN8+AN13)*PctReparto)-((AN9*CuotaSeg1)+(AN14*CuotaSeg2))</f>
        <v>628149.921</v>
      </c>
      <c r="AO18" s="73">
        <f>((AO8+AO13)*PctReparto)-((AO9*CuotaSeg1)+(AO14*CuotaSeg2))</f>
        <v>687410.898</v>
      </c>
      <c r="AP18" s="73">
        <f>((AP8+AP13)*PctReparto)-((AP9*CuotaSeg1)+(AP14*CuotaSeg2))</f>
        <v>674844.7256</v>
      </c>
      <c r="AQ18" s="73">
        <f>((AQ8+AQ13)*PctReparto)-((AQ9*CuotaSeg1)+(AQ14*CuotaSeg2))</f>
        <v>637996.2932</v>
      </c>
      <c r="AR18" s="73">
        <f>((AR8+AR13)*PctReparto)-((AR9*CuotaSeg1)+(AR14*CuotaSeg2))</f>
        <v>655197.3904</v>
      </c>
      <c r="AS18" s="73">
        <f>((AS8+AS13)*PctReparto)-((AS9*CuotaSeg1)+(AS14*CuotaSeg2))</f>
        <v>654302.0084</v>
      </c>
      <c r="AT18" s="73">
        <f>((AT8+AT13)*PctReparto)-((AT9*CuotaSeg1)+(AT14*CuotaSeg2))</f>
        <v>693243.0065</v>
      </c>
      <c r="AU18" s="73">
        <f>((AU8+AU13)*PctReparto)-((AU9*CuotaSeg1)+(AU14*CuotaSeg2))</f>
        <v>689240.4973</v>
      </c>
      <c r="AV18" s="73">
        <f>((AV8+AV13)*PctReparto)-((AV9*CuotaSeg1)+(AV14*CuotaSeg2))</f>
        <v>583165.9933</v>
      </c>
      <c r="AW18" s="73">
        <f>((AW8+AW13)*PctReparto)-((AW9*CuotaSeg1)+(AW14*CuotaSeg2))</f>
        <v>558505.8344</v>
      </c>
      <c r="AX18" s="73">
        <f>((AX8+AX13)*PctReparto)-((AX9*CuotaSeg1)+(AX14*CuotaSeg2))</f>
        <v>692027.3024</v>
      </c>
      <c r="AY18" s="73">
        <f>((AY8+AY13)*PctReparto)-((AY9*CuotaSeg1)+(AY14*CuotaSeg2))</f>
        <v>627679.5321</v>
      </c>
      <c r="AZ18" s="73">
        <f>((AZ8+AZ13)*PctReparto)-((AZ9*CuotaSeg1)+(AZ14*CuotaSeg2))</f>
        <v>616714.3101</v>
      </c>
      <c r="BA18" s="73">
        <f>((BA8+BA13)*PctReparto)-((BA9*CuotaSeg1)+(BA14*CuotaSeg2))</f>
        <v>649011.916</v>
      </c>
      <c r="BB18" s="73">
        <f>((BB8+BB13)*PctReparto)-((BB9*CuotaSeg1)+(BB14*CuotaSeg2))</f>
        <v>662439.9832</v>
      </c>
      <c r="BC18" s="73">
        <f>((BC8+BC13)*PctReparto)-((BC9*CuotaSeg1)+(BC14*CuotaSeg2))</f>
        <v>626402.7422</v>
      </c>
      <c r="BD18" s="73">
        <f>((BD8+BD13)*PctReparto)-((BD9*CuotaSeg1)+(BD14*CuotaSeg2))</f>
        <v>643204.8508</v>
      </c>
      <c r="BE18" s="73">
        <f>((BE8+BE13)*PctReparto)-((BE9*CuotaSeg1)+(BE14*CuotaSeg2))</f>
        <v>642315.4581</v>
      </c>
      <c r="BF18" s="73">
        <f>((BF8+BF13)*PctReparto)-((BF9*CuotaSeg1)+(BF14*CuotaSeg2))</f>
        <v>680370.6346</v>
      </c>
      <c r="BG18" s="73">
        <f>((BG8+BG13)*PctReparto)-((BG9*CuotaSeg1)+(BG14*CuotaSeg2))</f>
        <v>676443.859</v>
      </c>
      <c r="BH18" s="73">
        <f>((BH8+BH13)*PctReparto)-((BH9*CuotaSeg1)+(BH14*CuotaSeg2))</f>
        <v>572731.5744</v>
      </c>
      <c r="BI18" s="73">
        <f>((BI8+BI13)*PctReparto)-((BI9*CuotaSeg1)+(BI14*CuotaSeg2))</f>
        <v>548610.4693</v>
      </c>
      <c r="BJ18" s="73">
        <f>((BJ8+BJ13)*PctReparto)-((BJ9*CuotaSeg1)+(BJ14*CuotaSeg2))</f>
        <v>679127.3494</v>
      </c>
      <c r="BK18" s="73">
        <f>((BK8+BK13)*PctReparto)-((BK9*CuotaSeg1)+(BK14*CuotaSeg2))</f>
        <v>616207.7726</v>
      </c>
      <c r="BL18" s="73">
        <f t="shared" ref="BL18:BL19" si="8">SUM(D18:BK18)</f>
        <v>39527097.17</v>
      </c>
      <c r="BM18" s="73">
        <f t="shared" ref="BM18:BM19" si="9">AVERAGE(D18:BK18)</f>
        <v>658784.9528</v>
      </c>
    </row>
    <row r="19" ht="22.5" customHeight="1">
      <c r="A19" s="27" t="s">
        <v>407</v>
      </c>
      <c r="B19" s="122"/>
      <c r="C19" s="122"/>
      <c r="D19" s="123">
        <f t="shared" ref="D19:BK19" si="7">IFERROR(D$7-D18,"")</f>
        <v>337823.2703</v>
      </c>
      <c r="E19" s="123">
        <f t="shared" si="7"/>
        <v>349021.5139</v>
      </c>
      <c r="F19" s="123">
        <f t="shared" si="7"/>
        <v>353391.9767</v>
      </c>
      <c r="G19" s="123">
        <f t="shared" si="7"/>
        <v>339653.0345</v>
      </c>
      <c r="H19" s="123">
        <f t="shared" si="7"/>
        <v>345222.896</v>
      </c>
      <c r="I19" s="123">
        <f t="shared" si="7"/>
        <v>344319.3709</v>
      </c>
      <c r="J19" s="123">
        <f t="shared" si="7"/>
        <v>357652.6584</v>
      </c>
      <c r="K19" s="123">
        <f t="shared" si="7"/>
        <v>355646.4062</v>
      </c>
      <c r="L19" s="123">
        <f t="shared" si="7"/>
        <v>317220.2106</v>
      </c>
      <c r="M19" s="123">
        <f t="shared" si="7"/>
        <v>307867.0102</v>
      </c>
      <c r="N19" s="123">
        <f t="shared" si="7"/>
        <v>354943.223</v>
      </c>
      <c r="O19" s="123">
        <f t="shared" si="7"/>
        <v>331433.7448</v>
      </c>
      <c r="P19" s="50">
        <f t="shared" si="7"/>
        <v>326957.7442</v>
      </c>
      <c r="Q19" s="50">
        <f t="shared" si="7"/>
        <v>337922.4348</v>
      </c>
      <c r="R19" s="50">
        <f t="shared" si="7"/>
        <v>342210.5359</v>
      </c>
      <c r="S19" s="50">
        <f t="shared" si="7"/>
        <v>328796.4615</v>
      </c>
      <c r="T19" s="50">
        <f t="shared" si="7"/>
        <v>334258.0362</v>
      </c>
      <c r="U19" s="50">
        <f t="shared" si="7"/>
        <v>333391.6895</v>
      </c>
      <c r="V19" s="50">
        <f t="shared" si="7"/>
        <v>346442.6199</v>
      </c>
      <c r="W19" s="50">
        <f t="shared" si="7"/>
        <v>344498.0729</v>
      </c>
      <c r="X19" s="50">
        <f t="shared" si="7"/>
        <v>306949.3014</v>
      </c>
      <c r="Y19" s="50">
        <f t="shared" si="7"/>
        <v>297821.6688</v>
      </c>
      <c r="Z19" s="50">
        <f t="shared" si="7"/>
        <v>343859.8802</v>
      </c>
      <c r="AA19" s="50">
        <f t="shared" si="7"/>
        <v>320892.9052</v>
      </c>
      <c r="AB19" s="50">
        <f t="shared" si="7"/>
        <v>316533.5031</v>
      </c>
      <c r="AC19" s="50">
        <f t="shared" si="7"/>
        <v>327268.8349</v>
      </c>
      <c r="AD19" s="50">
        <f t="shared" si="7"/>
        <v>331475.487</v>
      </c>
      <c r="AE19" s="50">
        <f t="shared" si="7"/>
        <v>318377.9765</v>
      </c>
      <c r="AF19" s="50">
        <f t="shared" si="7"/>
        <v>323732.7013</v>
      </c>
      <c r="AG19" s="50">
        <f t="shared" si="7"/>
        <v>322901.6838</v>
      </c>
      <c r="AH19" s="50">
        <f t="shared" si="7"/>
        <v>335675.6034</v>
      </c>
      <c r="AI19" s="50">
        <f t="shared" si="7"/>
        <v>333790.3735</v>
      </c>
      <c r="AJ19" s="50">
        <f t="shared" si="7"/>
        <v>297098.3712</v>
      </c>
      <c r="AK19" s="50">
        <f t="shared" si="7"/>
        <v>288190.2903</v>
      </c>
      <c r="AL19" s="50">
        <f t="shared" si="7"/>
        <v>333212.7611</v>
      </c>
      <c r="AM19" s="50">
        <f t="shared" si="7"/>
        <v>310775.1839</v>
      </c>
      <c r="AN19" s="50">
        <f t="shared" si="7"/>
        <v>306528.7882</v>
      </c>
      <c r="AO19" s="50">
        <f t="shared" si="7"/>
        <v>325773.2701</v>
      </c>
      <c r="AP19" s="50">
        <f t="shared" si="7"/>
        <v>321110.6354</v>
      </c>
      <c r="AQ19" s="50">
        <f t="shared" si="7"/>
        <v>308323.8003</v>
      </c>
      <c r="AR19" s="50">
        <f t="shared" si="7"/>
        <v>313572.2493</v>
      </c>
      <c r="AS19" s="50">
        <f t="shared" si="7"/>
        <v>312774.9495</v>
      </c>
      <c r="AT19" s="50">
        <f t="shared" si="7"/>
        <v>325275.0243</v>
      </c>
      <c r="AU19" s="50">
        <f t="shared" si="7"/>
        <v>323447.1472</v>
      </c>
      <c r="AV19" s="50">
        <f t="shared" si="7"/>
        <v>287597.8596</v>
      </c>
      <c r="AW19" s="50">
        <f t="shared" si="7"/>
        <v>278904.9806</v>
      </c>
      <c r="AX19" s="50">
        <f t="shared" si="7"/>
        <v>322926.0694</v>
      </c>
      <c r="AY19" s="50">
        <f t="shared" si="7"/>
        <v>301008.8509</v>
      </c>
      <c r="AZ19" s="50">
        <f t="shared" si="7"/>
        <v>296872.7101</v>
      </c>
      <c r="BA19" s="50">
        <f t="shared" si="7"/>
        <v>307160.0335</v>
      </c>
      <c r="BB19" s="50">
        <f t="shared" si="7"/>
        <v>311205.9777</v>
      </c>
      <c r="BC19" s="50">
        <f t="shared" si="7"/>
        <v>298719.7811</v>
      </c>
      <c r="BD19" s="50">
        <f t="shared" si="7"/>
        <v>303864.349</v>
      </c>
      <c r="BE19" s="50">
        <f t="shared" si="7"/>
        <v>303098.976</v>
      </c>
      <c r="BF19" s="50">
        <f t="shared" si="7"/>
        <v>315332.5923</v>
      </c>
      <c r="BG19" s="50">
        <f t="shared" si="7"/>
        <v>313559.5822</v>
      </c>
      <c r="BH19" s="50">
        <f t="shared" si="7"/>
        <v>278527.1682</v>
      </c>
      <c r="BI19" s="50">
        <f t="shared" si="7"/>
        <v>270042.3435</v>
      </c>
      <c r="BJ19" s="50">
        <f t="shared" si="7"/>
        <v>313091.067</v>
      </c>
      <c r="BK19" s="50">
        <f t="shared" si="7"/>
        <v>291677.9907</v>
      </c>
      <c r="BL19" s="50">
        <f t="shared" si="8"/>
        <v>19227625.63</v>
      </c>
      <c r="BM19" s="50">
        <f t="shared" si="9"/>
        <v>320460.4272</v>
      </c>
    </row>
    <row r="20" ht="22.5" customHeight="1">
      <c r="A20" s="27" t="s">
        <v>410</v>
      </c>
      <c r="B20" s="122"/>
      <c r="C20" s="122"/>
      <c r="D20" s="124">
        <f t="shared" ref="D20:BK20" si="10">IFERROR(D19/D$7,"")</f>
        <v>0.3376842385</v>
      </c>
      <c r="E20" s="124">
        <f t="shared" si="10"/>
        <v>0.3333399364</v>
      </c>
      <c r="F20" s="124">
        <f t="shared" si="10"/>
        <v>0.3314566738</v>
      </c>
      <c r="G20" s="124">
        <f t="shared" si="10"/>
        <v>0.3352798038</v>
      </c>
      <c r="H20" s="124">
        <f t="shared" si="10"/>
        <v>0.3328810157</v>
      </c>
      <c r="I20" s="124">
        <f t="shared" si="10"/>
        <v>0.3325909111</v>
      </c>
      <c r="J20" s="124">
        <f t="shared" si="10"/>
        <v>0.3280217885</v>
      </c>
      <c r="K20" s="124">
        <f t="shared" si="10"/>
        <v>0.3280596896</v>
      </c>
      <c r="L20" s="124">
        <f t="shared" si="10"/>
        <v>0.3403066323</v>
      </c>
      <c r="M20" s="124">
        <f t="shared" si="10"/>
        <v>0.3434270862</v>
      </c>
      <c r="N20" s="124">
        <f t="shared" si="10"/>
        <v>0.3266801559</v>
      </c>
      <c r="O20" s="124">
        <f t="shared" si="10"/>
        <v>0.333377793</v>
      </c>
      <c r="P20" s="33">
        <f t="shared" si="10"/>
        <v>0.3343117678</v>
      </c>
      <c r="Q20" s="33">
        <f t="shared" si="10"/>
        <v>0.3301345542</v>
      </c>
      <c r="R20" s="33">
        <f t="shared" si="10"/>
        <v>0.3283237248</v>
      </c>
      <c r="S20" s="33">
        <f t="shared" si="10"/>
        <v>0.3319998113</v>
      </c>
      <c r="T20" s="33">
        <f t="shared" si="10"/>
        <v>0.3296932843</v>
      </c>
      <c r="U20" s="33">
        <f t="shared" si="10"/>
        <v>0.3294143376</v>
      </c>
      <c r="V20" s="33">
        <f t="shared" si="10"/>
        <v>0.3250209504</v>
      </c>
      <c r="W20" s="33">
        <f t="shared" si="10"/>
        <v>0.3250573938</v>
      </c>
      <c r="X20" s="33">
        <f t="shared" si="10"/>
        <v>0.3368333003</v>
      </c>
      <c r="Y20" s="33">
        <f t="shared" si="10"/>
        <v>0.3398337367</v>
      </c>
      <c r="Z20" s="33">
        <f t="shared" si="10"/>
        <v>0.3237309191</v>
      </c>
      <c r="AA20" s="33">
        <f t="shared" si="10"/>
        <v>0.3301709548</v>
      </c>
      <c r="AB20" s="33">
        <f t="shared" si="10"/>
        <v>0.3310690075</v>
      </c>
      <c r="AC20" s="33">
        <f t="shared" si="10"/>
        <v>0.327052456</v>
      </c>
      <c r="AD20" s="33">
        <f t="shared" si="10"/>
        <v>0.3253112739</v>
      </c>
      <c r="AE20" s="33">
        <f t="shared" si="10"/>
        <v>0.3288459724</v>
      </c>
      <c r="AF20" s="33">
        <f t="shared" si="10"/>
        <v>0.326628158</v>
      </c>
      <c r="AG20" s="33">
        <f t="shared" si="10"/>
        <v>0.32635994</v>
      </c>
      <c r="AH20" s="33">
        <f t="shared" si="10"/>
        <v>0.3221355293</v>
      </c>
      <c r="AI20" s="33">
        <f t="shared" si="10"/>
        <v>0.322170571</v>
      </c>
      <c r="AJ20" s="33">
        <f t="shared" si="10"/>
        <v>0.333493558</v>
      </c>
      <c r="AK20" s="33">
        <f t="shared" si="10"/>
        <v>0.336378593</v>
      </c>
      <c r="AL20" s="33">
        <f t="shared" si="10"/>
        <v>0.3208951145</v>
      </c>
      <c r="AM20" s="33">
        <f t="shared" si="10"/>
        <v>0.3270874565</v>
      </c>
      <c r="AN20" s="33">
        <f t="shared" si="10"/>
        <v>0.3279509688</v>
      </c>
      <c r="AO20" s="33">
        <f t="shared" si="10"/>
        <v>0.3215341103</v>
      </c>
      <c r="AP20" s="33">
        <f t="shared" si="10"/>
        <v>0.3224146864</v>
      </c>
      <c r="AQ20" s="33">
        <f t="shared" si="10"/>
        <v>0.325813435</v>
      </c>
      <c r="AR20" s="33">
        <f t="shared" si="10"/>
        <v>0.3236809211</v>
      </c>
      <c r="AS20" s="33">
        <f t="shared" si="10"/>
        <v>0.3234230192</v>
      </c>
      <c r="AT20" s="33">
        <f t="shared" si="10"/>
        <v>0.3193610858</v>
      </c>
      <c r="AU20" s="33">
        <f t="shared" si="10"/>
        <v>0.3193947798</v>
      </c>
      <c r="AV20" s="33">
        <f t="shared" si="10"/>
        <v>0.3302822673</v>
      </c>
      <c r="AW20" s="33">
        <f t="shared" si="10"/>
        <v>0.3330563394</v>
      </c>
      <c r="AX20" s="33">
        <f t="shared" si="10"/>
        <v>0.3181683794</v>
      </c>
      <c r="AY20" s="33">
        <f t="shared" si="10"/>
        <v>0.3241225544</v>
      </c>
      <c r="AZ20" s="33">
        <f t="shared" si="10"/>
        <v>0.3249528546</v>
      </c>
      <c r="BA20" s="33">
        <f t="shared" si="10"/>
        <v>0.3212393269</v>
      </c>
      <c r="BB20" s="33">
        <f t="shared" si="10"/>
        <v>0.3196295062</v>
      </c>
      <c r="BC20" s="33">
        <f t="shared" si="10"/>
        <v>0.3228975337</v>
      </c>
      <c r="BD20" s="33">
        <f t="shared" si="10"/>
        <v>0.3208470395</v>
      </c>
      <c r="BE20" s="33">
        <f t="shared" si="10"/>
        <v>0.3205990569</v>
      </c>
      <c r="BF20" s="33">
        <f t="shared" si="10"/>
        <v>0.3166933518</v>
      </c>
      <c r="BG20" s="33">
        <f t="shared" si="10"/>
        <v>0.3167257498</v>
      </c>
      <c r="BH20" s="33">
        <f t="shared" si="10"/>
        <v>0.3271944878</v>
      </c>
      <c r="BI20" s="33">
        <f t="shared" si="10"/>
        <v>0.3298618648</v>
      </c>
      <c r="BJ20" s="33">
        <f t="shared" si="10"/>
        <v>0.3155465186</v>
      </c>
      <c r="BK20" s="33">
        <f t="shared" si="10"/>
        <v>0.3212716869</v>
      </c>
      <c r="BL20" s="33">
        <f>AVERAGE(D20:BK20)</f>
        <v>0.3273619936</v>
      </c>
    </row>
    <row r="21" ht="22.5" customHeight="1">
      <c r="A21" s="27" t="s">
        <v>413</v>
      </c>
      <c r="B21" s="122"/>
      <c r="C21" s="122"/>
      <c r="D21" s="123">
        <f t="shared" ref="D21:BK21" si="11">IFERROR(SUM(D24),"Revise Error")</f>
        <v>83334.29637</v>
      </c>
      <c r="E21" s="123">
        <f t="shared" si="11"/>
        <v>87218.74858</v>
      </c>
      <c r="F21" s="123">
        <f t="shared" si="11"/>
        <v>88812.66838</v>
      </c>
      <c r="G21" s="123">
        <f t="shared" si="11"/>
        <v>84386.52568</v>
      </c>
      <c r="H21" s="123">
        <f t="shared" si="11"/>
        <v>86388.42675</v>
      </c>
      <c r="I21" s="123">
        <f t="shared" si="11"/>
        <v>86237.48467</v>
      </c>
      <c r="J21" s="123">
        <f t="shared" si="11"/>
        <v>90824.65706</v>
      </c>
      <c r="K21" s="123">
        <f t="shared" si="11"/>
        <v>90304.74203</v>
      </c>
      <c r="L21" s="123">
        <f t="shared" si="11"/>
        <v>77648.92317</v>
      </c>
      <c r="M21" s="123">
        <f t="shared" si="11"/>
        <v>74674.72131</v>
      </c>
      <c r="N21" s="123">
        <f t="shared" si="11"/>
        <v>90506.78451</v>
      </c>
      <c r="O21" s="123">
        <f t="shared" si="11"/>
        <v>82814.24713</v>
      </c>
      <c r="P21" s="50">
        <f t="shared" si="11"/>
        <v>81467.60813</v>
      </c>
      <c r="Q21" s="50">
        <f t="shared" si="11"/>
        <v>85265.04862</v>
      </c>
      <c r="R21" s="50">
        <f t="shared" si="11"/>
        <v>86823.26461</v>
      </c>
      <c r="S21" s="50">
        <f t="shared" si="11"/>
        <v>82496.2675</v>
      </c>
      <c r="T21" s="50">
        <f t="shared" si="11"/>
        <v>84453.326</v>
      </c>
      <c r="U21" s="50">
        <f t="shared" si="11"/>
        <v>84305.76501</v>
      </c>
      <c r="V21" s="50">
        <f t="shared" si="11"/>
        <v>88790.18475</v>
      </c>
      <c r="W21" s="50">
        <f t="shared" si="11"/>
        <v>88281.91581</v>
      </c>
      <c r="X21" s="50">
        <f t="shared" si="11"/>
        <v>75909.58729</v>
      </c>
      <c r="Y21" s="50">
        <f t="shared" si="11"/>
        <v>73002.00755</v>
      </c>
      <c r="Z21" s="50">
        <f t="shared" si="11"/>
        <v>88479.43254</v>
      </c>
      <c r="AA21" s="50">
        <f t="shared" si="11"/>
        <v>80959.208</v>
      </c>
      <c r="AB21" s="50">
        <f t="shared" si="11"/>
        <v>79642.73371</v>
      </c>
      <c r="AC21" s="50">
        <f t="shared" si="11"/>
        <v>83355.11153</v>
      </c>
      <c r="AD21" s="50">
        <f t="shared" si="11"/>
        <v>84878.42348</v>
      </c>
      <c r="AE21" s="50">
        <f t="shared" si="11"/>
        <v>80648.35111</v>
      </c>
      <c r="AF21" s="50">
        <f t="shared" si="11"/>
        <v>82561.57149</v>
      </c>
      <c r="AG21" s="50">
        <f t="shared" si="11"/>
        <v>82417.31587</v>
      </c>
      <c r="AH21" s="50">
        <f t="shared" si="11"/>
        <v>86801.28461</v>
      </c>
      <c r="AI21" s="50">
        <f t="shared" si="11"/>
        <v>86304.4009</v>
      </c>
      <c r="AJ21" s="50">
        <f t="shared" si="11"/>
        <v>74209.21254</v>
      </c>
      <c r="AK21" s="50">
        <f t="shared" si="11"/>
        <v>71366.76258</v>
      </c>
      <c r="AL21" s="50">
        <f t="shared" si="11"/>
        <v>86497.49325</v>
      </c>
      <c r="AM21" s="50">
        <f t="shared" si="11"/>
        <v>79145.72174</v>
      </c>
      <c r="AN21" s="50">
        <f t="shared" si="11"/>
        <v>77858.73648</v>
      </c>
      <c r="AO21" s="50">
        <f t="shared" si="11"/>
        <v>84398.24121</v>
      </c>
      <c r="AP21" s="50">
        <f t="shared" si="11"/>
        <v>82963.08157</v>
      </c>
      <c r="AQ21" s="50">
        <f t="shared" si="11"/>
        <v>78828.46378</v>
      </c>
      <c r="AR21" s="50">
        <f t="shared" si="11"/>
        <v>80698.51099</v>
      </c>
      <c r="AS21" s="50">
        <f t="shared" si="11"/>
        <v>80557.5106</v>
      </c>
      <c r="AT21" s="50">
        <f t="shared" si="11"/>
        <v>84842.55196</v>
      </c>
      <c r="AU21" s="50">
        <f t="shared" si="11"/>
        <v>84356.88079</v>
      </c>
      <c r="AV21" s="50">
        <f t="shared" si="11"/>
        <v>72534.62895</v>
      </c>
      <c r="AW21" s="50">
        <f t="shared" si="11"/>
        <v>69756.32089</v>
      </c>
      <c r="AX21" s="50">
        <f t="shared" si="11"/>
        <v>84545.61588</v>
      </c>
      <c r="AY21" s="50">
        <f t="shared" si="11"/>
        <v>77359.74231</v>
      </c>
      <c r="AZ21" s="50">
        <f t="shared" si="11"/>
        <v>76101.79878</v>
      </c>
      <c r="BA21" s="50">
        <f t="shared" si="11"/>
        <v>79649.1234</v>
      </c>
      <c r="BB21" s="50">
        <f t="shared" si="11"/>
        <v>81104.70854</v>
      </c>
      <c r="BC21" s="50">
        <f t="shared" si="11"/>
        <v>77062.70619</v>
      </c>
      <c r="BD21" s="50">
        <f t="shared" si="11"/>
        <v>78890.86434</v>
      </c>
      <c r="BE21" s="50">
        <f t="shared" si="11"/>
        <v>78753.02236</v>
      </c>
      <c r="BF21" s="50">
        <f t="shared" si="11"/>
        <v>82942.0788</v>
      </c>
      <c r="BG21" s="50">
        <f t="shared" si="11"/>
        <v>82467.28666</v>
      </c>
      <c r="BH21" s="50">
        <f t="shared" si="11"/>
        <v>70909.85326</v>
      </c>
      <c r="BI21" s="50">
        <f t="shared" si="11"/>
        <v>68193.7793</v>
      </c>
      <c r="BJ21" s="50">
        <f t="shared" si="11"/>
        <v>82651.79408</v>
      </c>
      <c r="BK21" s="50">
        <f t="shared" si="11"/>
        <v>75626.88408</v>
      </c>
      <c r="BL21" s="50">
        <f t="shared" ref="BL21:BL22" si="13">SUM(D21:BK21)</f>
        <v>4894268.409</v>
      </c>
      <c r="BM21" s="50">
        <f t="shared" ref="BM21:BM22" si="14">AVERAGE(D21:BK21)</f>
        <v>81571.14016</v>
      </c>
    </row>
    <row r="22" ht="22.5" customHeight="1">
      <c r="A22" s="27" t="s">
        <v>414</v>
      </c>
      <c r="B22" s="125"/>
      <c r="C22" s="122"/>
      <c r="D22" s="123">
        <f t="shared" ref="D22:BK22" si="12">IFERROR(D19-D21,"Revise Error")</f>
        <v>254488.9739</v>
      </c>
      <c r="E22" s="123">
        <f t="shared" si="12"/>
        <v>261802.7653</v>
      </c>
      <c r="F22" s="123">
        <f t="shared" si="12"/>
        <v>264579.3083</v>
      </c>
      <c r="G22" s="123">
        <f t="shared" si="12"/>
        <v>255266.5088</v>
      </c>
      <c r="H22" s="123">
        <f t="shared" si="12"/>
        <v>258834.4693</v>
      </c>
      <c r="I22" s="123">
        <f t="shared" si="12"/>
        <v>258081.8862</v>
      </c>
      <c r="J22" s="123">
        <f t="shared" si="12"/>
        <v>266828.0014</v>
      </c>
      <c r="K22" s="123">
        <f t="shared" si="12"/>
        <v>265341.6642</v>
      </c>
      <c r="L22" s="123">
        <f t="shared" si="12"/>
        <v>239571.2875</v>
      </c>
      <c r="M22" s="123">
        <f t="shared" si="12"/>
        <v>233192.2889</v>
      </c>
      <c r="N22" s="123">
        <f t="shared" si="12"/>
        <v>264436.4384</v>
      </c>
      <c r="O22" s="123">
        <f t="shared" si="12"/>
        <v>248619.4976</v>
      </c>
      <c r="P22" s="50">
        <f t="shared" si="12"/>
        <v>245490.1361</v>
      </c>
      <c r="Q22" s="50">
        <f t="shared" si="12"/>
        <v>252657.3862</v>
      </c>
      <c r="R22" s="50">
        <f t="shared" si="12"/>
        <v>255387.2713</v>
      </c>
      <c r="S22" s="50">
        <f t="shared" si="12"/>
        <v>246300.194</v>
      </c>
      <c r="T22" s="50">
        <f t="shared" si="12"/>
        <v>249804.7102</v>
      </c>
      <c r="U22" s="50">
        <f t="shared" si="12"/>
        <v>249085.9245</v>
      </c>
      <c r="V22" s="50">
        <f t="shared" si="12"/>
        <v>257652.4351</v>
      </c>
      <c r="W22" s="50">
        <f t="shared" si="12"/>
        <v>256216.1571</v>
      </c>
      <c r="X22" s="50">
        <f t="shared" si="12"/>
        <v>231039.7142</v>
      </c>
      <c r="Y22" s="50">
        <f t="shared" si="12"/>
        <v>224819.6613</v>
      </c>
      <c r="Z22" s="50">
        <f t="shared" si="12"/>
        <v>255380.4476</v>
      </c>
      <c r="AA22" s="50">
        <f t="shared" si="12"/>
        <v>239933.6972</v>
      </c>
      <c r="AB22" s="50">
        <f t="shared" si="12"/>
        <v>236890.7694</v>
      </c>
      <c r="AC22" s="50">
        <f t="shared" si="12"/>
        <v>243913.7233</v>
      </c>
      <c r="AD22" s="50">
        <f t="shared" si="12"/>
        <v>246597.0635</v>
      </c>
      <c r="AE22" s="50">
        <f t="shared" si="12"/>
        <v>237729.6254</v>
      </c>
      <c r="AF22" s="50">
        <f t="shared" si="12"/>
        <v>241171.1298</v>
      </c>
      <c r="AG22" s="50">
        <f t="shared" si="12"/>
        <v>240484.3679</v>
      </c>
      <c r="AH22" s="50">
        <f t="shared" si="12"/>
        <v>248874.3187</v>
      </c>
      <c r="AI22" s="50">
        <f t="shared" si="12"/>
        <v>247485.9726</v>
      </c>
      <c r="AJ22" s="50">
        <f t="shared" si="12"/>
        <v>222889.1587</v>
      </c>
      <c r="AK22" s="50">
        <f t="shared" si="12"/>
        <v>216823.5277</v>
      </c>
      <c r="AL22" s="50">
        <f t="shared" si="12"/>
        <v>246715.2679</v>
      </c>
      <c r="AM22" s="50">
        <f t="shared" si="12"/>
        <v>231629.4622</v>
      </c>
      <c r="AN22" s="50">
        <f t="shared" si="12"/>
        <v>228670.0517</v>
      </c>
      <c r="AO22" s="50">
        <f t="shared" si="12"/>
        <v>241375.0289</v>
      </c>
      <c r="AP22" s="50">
        <f t="shared" si="12"/>
        <v>238147.5538</v>
      </c>
      <c r="AQ22" s="50">
        <f t="shared" si="12"/>
        <v>229495.3365</v>
      </c>
      <c r="AR22" s="50">
        <f t="shared" si="12"/>
        <v>232873.7383</v>
      </c>
      <c r="AS22" s="50">
        <f t="shared" si="12"/>
        <v>232217.4389</v>
      </c>
      <c r="AT22" s="50">
        <f t="shared" si="12"/>
        <v>240432.4723</v>
      </c>
      <c r="AU22" s="50">
        <f t="shared" si="12"/>
        <v>239090.2664</v>
      </c>
      <c r="AV22" s="50">
        <f t="shared" si="12"/>
        <v>215063.2306</v>
      </c>
      <c r="AW22" s="50">
        <f t="shared" si="12"/>
        <v>209148.6597</v>
      </c>
      <c r="AX22" s="50">
        <f t="shared" si="12"/>
        <v>238380.4536</v>
      </c>
      <c r="AY22" s="50">
        <f t="shared" si="12"/>
        <v>223649.1086</v>
      </c>
      <c r="AZ22" s="50">
        <f t="shared" si="12"/>
        <v>220770.9114</v>
      </c>
      <c r="BA22" s="50">
        <f t="shared" si="12"/>
        <v>227510.9101</v>
      </c>
      <c r="BB22" s="50">
        <f t="shared" si="12"/>
        <v>230101.2691</v>
      </c>
      <c r="BC22" s="50">
        <f t="shared" si="12"/>
        <v>221657.0749</v>
      </c>
      <c r="BD22" s="50">
        <f t="shared" si="12"/>
        <v>224973.4846</v>
      </c>
      <c r="BE22" s="50">
        <f t="shared" si="12"/>
        <v>224345.9536</v>
      </c>
      <c r="BF22" s="50">
        <f t="shared" si="12"/>
        <v>232390.5135</v>
      </c>
      <c r="BG22" s="50">
        <f t="shared" si="12"/>
        <v>231092.2956</v>
      </c>
      <c r="BH22" s="50">
        <f t="shared" si="12"/>
        <v>207617.315</v>
      </c>
      <c r="BI22" s="50">
        <f t="shared" si="12"/>
        <v>201848.5642</v>
      </c>
      <c r="BJ22" s="50">
        <f t="shared" si="12"/>
        <v>230439.2729</v>
      </c>
      <c r="BK22" s="50">
        <f t="shared" si="12"/>
        <v>216051.1066</v>
      </c>
      <c r="BL22" s="50">
        <f t="shared" si="13"/>
        <v>14333357.22</v>
      </c>
      <c r="BM22" s="50">
        <f t="shared" si="14"/>
        <v>238889.287</v>
      </c>
    </row>
    <row r="23" ht="22.5" customHeight="1">
      <c r="A23" s="27" t="s">
        <v>415</v>
      </c>
      <c r="B23" s="125"/>
      <c r="C23" s="122"/>
      <c r="D23" s="124">
        <f t="shared" ref="D23:BK23" si="15">IFERROR(D22/D19,"Revise Error")</f>
        <v>0.7533198459</v>
      </c>
      <c r="E23" s="124">
        <f t="shared" si="15"/>
        <v>0.7501049502</v>
      </c>
      <c r="F23" s="124">
        <f t="shared" si="15"/>
        <v>0.7486851025</v>
      </c>
      <c r="G23" s="124">
        <f t="shared" si="15"/>
        <v>0.7515507971</v>
      </c>
      <c r="H23" s="124">
        <f t="shared" si="15"/>
        <v>0.7497604367</v>
      </c>
      <c r="I23" s="124">
        <f t="shared" si="15"/>
        <v>0.7495421636</v>
      </c>
      <c r="J23" s="124">
        <f t="shared" si="15"/>
        <v>0.7460534546</v>
      </c>
      <c r="K23" s="124">
        <f t="shared" si="15"/>
        <v>0.7460827933</v>
      </c>
      <c r="L23" s="124">
        <f t="shared" si="15"/>
        <v>0.7552207565</v>
      </c>
      <c r="M23" s="124">
        <f t="shared" si="15"/>
        <v>0.7574448745</v>
      </c>
      <c r="N23" s="124">
        <f t="shared" si="15"/>
        <v>0.7450105294</v>
      </c>
      <c r="O23" s="124">
        <f t="shared" si="15"/>
        <v>0.750133327</v>
      </c>
      <c r="P23" s="33">
        <f t="shared" si="15"/>
        <v>0.7508313855</v>
      </c>
      <c r="Q23" s="33">
        <f t="shared" si="15"/>
        <v>0.7476786391</v>
      </c>
      <c r="R23" s="33">
        <f t="shared" si="15"/>
        <v>0.7462869915</v>
      </c>
      <c r="S23" s="33">
        <f t="shared" si="15"/>
        <v>0.7490962429</v>
      </c>
      <c r="T23" s="33">
        <f t="shared" si="15"/>
        <v>0.7473409257</v>
      </c>
      <c r="U23" s="33">
        <f t="shared" si="15"/>
        <v>0.747126975</v>
      </c>
      <c r="V23" s="33">
        <f t="shared" si="15"/>
        <v>0.743708829</v>
      </c>
      <c r="W23" s="33">
        <f t="shared" si="15"/>
        <v>0.7437375627</v>
      </c>
      <c r="X23" s="33">
        <f t="shared" si="15"/>
        <v>0.7526966605</v>
      </c>
      <c r="Y23" s="33">
        <f t="shared" si="15"/>
        <v>0.754880134</v>
      </c>
      <c r="Z23" s="33">
        <f t="shared" si="15"/>
        <v>0.7426875374</v>
      </c>
      <c r="AA23" s="33">
        <f t="shared" si="15"/>
        <v>0.7477064569</v>
      </c>
      <c r="AB23" s="33">
        <f t="shared" si="15"/>
        <v>0.7483908246</v>
      </c>
      <c r="AC23" s="33">
        <f t="shared" si="15"/>
        <v>0.7453007966</v>
      </c>
      <c r="AD23" s="33">
        <f t="shared" si="15"/>
        <v>0.7439375555</v>
      </c>
      <c r="AE23" s="33">
        <f t="shared" si="15"/>
        <v>0.7466899187</v>
      </c>
      <c r="AF23" s="33">
        <f t="shared" si="15"/>
        <v>0.7449699361</v>
      </c>
      <c r="AG23" s="33">
        <f t="shared" si="15"/>
        <v>0.7447603403</v>
      </c>
      <c r="AH23" s="33">
        <f t="shared" si="15"/>
        <v>0.7414131866</v>
      </c>
      <c r="AI23" s="33">
        <f t="shared" si="15"/>
        <v>0.7414413124</v>
      </c>
      <c r="AJ23" s="33">
        <f t="shared" si="15"/>
        <v>0.7502200627</v>
      </c>
      <c r="AK23" s="33">
        <f t="shared" si="15"/>
        <v>0.7523623627</v>
      </c>
      <c r="AL23" s="33">
        <f t="shared" si="15"/>
        <v>0.7404136236</v>
      </c>
      <c r="AM23" s="33">
        <f t="shared" si="15"/>
        <v>0.7453280512</v>
      </c>
      <c r="AN23" s="33">
        <f t="shared" si="15"/>
        <v>0.7459986159</v>
      </c>
      <c r="AO23" s="33">
        <f t="shared" si="15"/>
        <v>0.7409295085</v>
      </c>
      <c r="AP23" s="33">
        <f t="shared" si="15"/>
        <v>0.7416370795</v>
      </c>
      <c r="AQ23" s="33">
        <f t="shared" si="15"/>
        <v>0.7443322127</v>
      </c>
      <c r="AR23" s="33">
        <f t="shared" si="15"/>
        <v>0.7426477912</v>
      </c>
      <c r="AS23" s="33">
        <f t="shared" si="15"/>
        <v>0.742442575</v>
      </c>
      <c r="AT23" s="33">
        <f t="shared" si="15"/>
        <v>0.7391667185</v>
      </c>
      <c r="AU23" s="33">
        <f t="shared" si="15"/>
        <v>0.7391942346</v>
      </c>
      <c r="AV23" s="33">
        <f t="shared" si="15"/>
        <v>0.7477914855</v>
      </c>
      <c r="AW23" s="33">
        <f t="shared" si="15"/>
        <v>0.749892165</v>
      </c>
      <c r="AX23" s="33">
        <f t="shared" si="15"/>
        <v>0.7381889421</v>
      </c>
      <c r="AY23" s="33">
        <f t="shared" si="15"/>
        <v>0.7429984465</v>
      </c>
      <c r="AZ23" s="33">
        <f t="shared" si="15"/>
        <v>0.7436551216</v>
      </c>
      <c r="BA23" s="33">
        <f t="shared" si="15"/>
        <v>0.740691774</v>
      </c>
      <c r="BB23" s="33">
        <f t="shared" si="15"/>
        <v>0.7393857626</v>
      </c>
      <c r="BC23" s="33">
        <f t="shared" si="15"/>
        <v>0.7420234244</v>
      </c>
      <c r="BD23" s="33">
        <f t="shared" si="15"/>
        <v>0.7403747277</v>
      </c>
      <c r="BE23" s="33">
        <f t="shared" si="15"/>
        <v>0.7401739082</v>
      </c>
      <c r="BF23" s="33">
        <f t="shared" si="15"/>
        <v>0.7369695337</v>
      </c>
      <c r="BG23" s="33">
        <f t="shared" si="15"/>
        <v>0.7369964392</v>
      </c>
      <c r="BH23" s="33">
        <f t="shared" si="15"/>
        <v>0.7454113589</v>
      </c>
      <c r="BI23" s="33">
        <f t="shared" si="15"/>
        <v>0.7474700507</v>
      </c>
      <c r="BJ23" s="33">
        <f t="shared" si="15"/>
        <v>0.7360135667</v>
      </c>
      <c r="BK23" s="33">
        <f t="shared" si="15"/>
        <v>0.7407178927</v>
      </c>
      <c r="BL23" s="33">
        <f>AVERAGE(D23:BK23)</f>
        <v>0.7454503113</v>
      </c>
    </row>
    <row r="24" ht="22.5" customHeight="1" outlineLevel="1">
      <c r="A24" s="69"/>
      <c r="B24" s="126" t="s">
        <v>314</v>
      </c>
      <c r="C24" s="127"/>
      <c r="D24" s="128">
        <f>IFERROR(D$7*PctConvenio,"Revise Error")</f>
        <v>83334.29637</v>
      </c>
      <c r="E24" s="128">
        <f>IFERROR(E$7*PctConvenio,"Revise Error")</f>
        <v>87218.74858</v>
      </c>
      <c r="F24" s="128">
        <f>IFERROR(F$7*PctConvenio,"Revise Error")</f>
        <v>88812.66838</v>
      </c>
      <c r="G24" s="128">
        <f>IFERROR(G$7*PctConvenio,"Revise Error")</f>
        <v>84386.52568</v>
      </c>
      <c r="H24" s="128">
        <f>IFERROR(H$7*PctConvenio,"Revise Error")</f>
        <v>86388.42675</v>
      </c>
      <c r="I24" s="128">
        <f>IFERROR(I$7*PctConvenio,"Revise Error")</f>
        <v>86237.48467</v>
      </c>
      <c r="J24" s="128">
        <f>IFERROR(J$7*PctConvenio,"Revise Error")</f>
        <v>90824.65706</v>
      </c>
      <c r="K24" s="128">
        <f>IFERROR(K$7*PctConvenio,"Revise Error")</f>
        <v>90304.74203</v>
      </c>
      <c r="L24" s="128">
        <f>IFERROR(L$7*PctConvenio,"Revise Error")</f>
        <v>77648.92317</v>
      </c>
      <c r="M24" s="128">
        <f>IFERROR(M$7*PctConvenio,"Revise Error")</f>
        <v>74674.72131</v>
      </c>
      <c r="N24" s="128">
        <f>IFERROR(N$7*PctConvenio,"Revise Error")</f>
        <v>90506.78451</v>
      </c>
      <c r="O24" s="128">
        <f>IFERROR(O$7*PctConvenio,"Revise Error")</f>
        <v>82814.24713</v>
      </c>
      <c r="P24" s="73">
        <f>IFERROR(P$7*PctConvenio,"Revise Error")</f>
        <v>81467.60813</v>
      </c>
      <c r="Q24" s="73">
        <f>IFERROR(Q$7*PctConvenio,"Revise Error")</f>
        <v>85265.04862</v>
      </c>
      <c r="R24" s="73">
        <f>IFERROR(R$7*PctConvenio,"Revise Error")</f>
        <v>86823.26461</v>
      </c>
      <c r="S24" s="73">
        <f>IFERROR(S$7*PctConvenio,"Revise Error")</f>
        <v>82496.2675</v>
      </c>
      <c r="T24" s="73">
        <f>IFERROR(T$7*PctConvenio,"Revise Error")</f>
        <v>84453.326</v>
      </c>
      <c r="U24" s="73">
        <f>IFERROR(U$7*PctConvenio,"Revise Error")</f>
        <v>84305.76501</v>
      </c>
      <c r="V24" s="73">
        <f>IFERROR(V$7*PctConvenio,"Revise Error")</f>
        <v>88790.18475</v>
      </c>
      <c r="W24" s="73">
        <f>IFERROR(W$7*PctConvenio,"Revise Error")</f>
        <v>88281.91581</v>
      </c>
      <c r="X24" s="73">
        <f>IFERROR(X$7*PctConvenio,"Revise Error")</f>
        <v>75909.58729</v>
      </c>
      <c r="Y24" s="73">
        <f>IFERROR(Y$7*PctConvenio,"Revise Error")</f>
        <v>73002.00755</v>
      </c>
      <c r="Z24" s="73">
        <f>IFERROR(Z$7*PctConvenio,"Revise Error")</f>
        <v>88479.43254</v>
      </c>
      <c r="AA24" s="73">
        <f>IFERROR(AA$7*PctConvenio,"Revise Error")</f>
        <v>80959.208</v>
      </c>
      <c r="AB24" s="73">
        <f>IFERROR(AB$7*PctConvenio,"Revise Error")</f>
        <v>79642.73371</v>
      </c>
      <c r="AC24" s="73">
        <f>IFERROR(AC$7*PctConvenio,"Revise Error")</f>
        <v>83355.11153</v>
      </c>
      <c r="AD24" s="73">
        <f>IFERROR(AD$7*PctConvenio,"Revise Error")</f>
        <v>84878.42348</v>
      </c>
      <c r="AE24" s="73">
        <f>IFERROR(AE$7*PctConvenio,"Revise Error")</f>
        <v>80648.35111</v>
      </c>
      <c r="AF24" s="73">
        <f>IFERROR(AF$7*PctConvenio,"Revise Error")</f>
        <v>82561.57149</v>
      </c>
      <c r="AG24" s="73">
        <f>IFERROR(AG$7*PctConvenio,"Revise Error")</f>
        <v>82417.31587</v>
      </c>
      <c r="AH24" s="73">
        <f>IFERROR(AH$7*PctConvenio,"Revise Error")</f>
        <v>86801.28461</v>
      </c>
      <c r="AI24" s="73">
        <f>IFERROR(AI$7*PctConvenio,"Revise Error")</f>
        <v>86304.4009</v>
      </c>
      <c r="AJ24" s="73">
        <f>IFERROR(AJ$7*PctConvenio,"Revise Error")</f>
        <v>74209.21254</v>
      </c>
      <c r="AK24" s="73">
        <f>IFERROR(AK$7*PctConvenio,"Revise Error")</f>
        <v>71366.76258</v>
      </c>
      <c r="AL24" s="73">
        <f>IFERROR(AL$7*PctConvenio,"Revise Error")</f>
        <v>86497.49325</v>
      </c>
      <c r="AM24" s="73">
        <f>IFERROR(AM$7*PctConvenio,"Revise Error")</f>
        <v>79145.72174</v>
      </c>
      <c r="AN24" s="73">
        <f>IFERROR(AN$7*PctConvenio,"Revise Error")</f>
        <v>77858.73648</v>
      </c>
      <c r="AO24" s="73">
        <f>IFERROR(AO$7*PctConvenio,"Revise Error")</f>
        <v>84398.24121</v>
      </c>
      <c r="AP24" s="73">
        <f>IFERROR(AP$7*PctConvenio,"Revise Error")</f>
        <v>82963.08157</v>
      </c>
      <c r="AQ24" s="73">
        <f>IFERROR(AQ$7*PctConvenio,"Revise Error")</f>
        <v>78828.46378</v>
      </c>
      <c r="AR24" s="73">
        <f>IFERROR(AR$7*PctConvenio,"Revise Error")</f>
        <v>80698.51099</v>
      </c>
      <c r="AS24" s="73">
        <f>IFERROR(AS$7*PctConvenio,"Revise Error")</f>
        <v>80557.5106</v>
      </c>
      <c r="AT24" s="73">
        <f>IFERROR(AT$7*PctConvenio,"Revise Error")</f>
        <v>84842.55196</v>
      </c>
      <c r="AU24" s="73">
        <f>IFERROR(AU$7*PctConvenio,"Revise Error")</f>
        <v>84356.88079</v>
      </c>
      <c r="AV24" s="73">
        <f>IFERROR(AV$7*PctConvenio,"Revise Error")</f>
        <v>72534.62895</v>
      </c>
      <c r="AW24" s="73">
        <f>IFERROR(AW$7*PctConvenio,"Revise Error")</f>
        <v>69756.32089</v>
      </c>
      <c r="AX24" s="73">
        <f>IFERROR(AX$7*PctConvenio,"Revise Error")</f>
        <v>84545.61588</v>
      </c>
      <c r="AY24" s="73">
        <f>IFERROR(AY$7*PctConvenio,"Revise Error")</f>
        <v>77359.74231</v>
      </c>
      <c r="AZ24" s="73">
        <f>IFERROR(AZ$7*PctConvenio,"Revise Error")</f>
        <v>76101.79878</v>
      </c>
      <c r="BA24" s="73">
        <f>IFERROR(BA$7*PctConvenio,"Revise Error")</f>
        <v>79649.1234</v>
      </c>
      <c r="BB24" s="73">
        <f>IFERROR(BB$7*PctConvenio,"Revise Error")</f>
        <v>81104.70854</v>
      </c>
      <c r="BC24" s="73">
        <f>IFERROR(BC$7*PctConvenio,"Revise Error")</f>
        <v>77062.70619</v>
      </c>
      <c r="BD24" s="73">
        <f>IFERROR(BD$7*PctConvenio,"Revise Error")</f>
        <v>78890.86434</v>
      </c>
      <c r="BE24" s="73">
        <f>IFERROR(BE$7*PctConvenio,"Revise Error")</f>
        <v>78753.02236</v>
      </c>
      <c r="BF24" s="73">
        <f>IFERROR(BF$7*PctConvenio,"Revise Error")</f>
        <v>82942.0788</v>
      </c>
      <c r="BG24" s="73">
        <f>IFERROR(BG$7*PctConvenio,"Revise Error")</f>
        <v>82467.28666</v>
      </c>
      <c r="BH24" s="73">
        <f>IFERROR(BH$7*PctConvenio,"Revise Error")</f>
        <v>70909.85326</v>
      </c>
      <c r="BI24" s="73">
        <f>IFERROR(BI$7*PctConvenio,"Revise Error")</f>
        <v>68193.7793</v>
      </c>
      <c r="BJ24" s="73">
        <f>IFERROR(BJ$7*PctConvenio,"Revise Error")</f>
        <v>82651.79408</v>
      </c>
      <c r="BK24" s="73">
        <f>IFERROR(BK$7*PctConvenio,"Revise Error")</f>
        <v>75626.88408</v>
      </c>
      <c r="BL24" s="73">
        <f t="shared" ref="BL24:BL26" si="17">SUM(D24:BK24)</f>
        <v>4894268.409</v>
      </c>
      <c r="BM24" s="73">
        <f t="shared" ref="BM24:BM26" si="18">AVERAGE(D24:BK24)</f>
        <v>81571.14016</v>
      </c>
    </row>
    <row r="25" ht="22.5" customHeight="1">
      <c r="A25" s="27" t="s">
        <v>392</v>
      </c>
      <c r="B25" s="27"/>
      <c r="C25" s="27"/>
      <c r="D25" s="123">
        <f t="shared" ref="D25:BK25" si="16">IFERROR(D28+D34+D37+D43+D50,"Revise Error")</f>
        <v>107990</v>
      </c>
      <c r="E25" s="123">
        <f t="shared" si="16"/>
        <v>107990</v>
      </c>
      <c r="F25" s="123">
        <f t="shared" si="16"/>
        <v>107990</v>
      </c>
      <c r="G25" s="123">
        <f t="shared" si="16"/>
        <v>107990</v>
      </c>
      <c r="H25" s="123">
        <f t="shared" si="16"/>
        <v>107990</v>
      </c>
      <c r="I25" s="123">
        <f t="shared" si="16"/>
        <v>107990</v>
      </c>
      <c r="J25" s="123">
        <f t="shared" si="16"/>
        <v>107990</v>
      </c>
      <c r="K25" s="123">
        <f t="shared" si="16"/>
        <v>107990</v>
      </c>
      <c r="L25" s="123">
        <f t="shared" si="16"/>
        <v>107990</v>
      </c>
      <c r="M25" s="123">
        <f t="shared" si="16"/>
        <v>107990</v>
      </c>
      <c r="N25" s="123">
        <f t="shared" si="16"/>
        <v>107990</v>
      </c>
      <c r="O25" s="123">
        <f t="shared" si="16"/>
        <v>107990</v>
      </c>
      <c r="P25" s="50">
        <f t="shared" si="16"/>
        <v>112797.8</v>
      </c>
      <c r="Q25" s="50">
        <f t="shared" si="16"/>
        <v>112797.8</v>
      </c>
      <c r="R25" s="50">
        <f t="shared" si="16"/>
        <v>112797.8</v>
      </c>
      <c r="S25" s="50">
        <f t="shared" si="16"/>
        <v>112797.8</v>
      </c>
      <c r="T25" s="50">
        <f t="shared" si="16"/>
        <v>112797.8</v>
      </c>
      <c r="U25" s="50">
        <f t="shared" si="16"/>
        <v>112797.8</v>
      </c>
      <c r="V25" s="50">
        <f t="shared" si="16"/>
        <v>112797.8</v>
      </c>
      <c r="W25" s="50">
        <f t="shared" si="16"/>
        <v>112797.8</v>
      </c>
      <c r="X25" s="50">
        <f t="shared" si="16"/>
        <v>112797.8</v>
      </c>
      <c r="Y25" s="50">
        <f t="shared" si="16"/>
        <v>112797.8</v>
      </c>
      <c r="Z25" s="50">
        <f t="shared" si="16"/>
        <v>112797.8</v>
      </c>
      <c r="AA25" s="50">
        <f t="shared" si="16"/>
        <v>112797.8</v>
      </c>
      <c r="AB25" s="50">
        <f t="shared" si="16"/>
        <v>117821.951</v>
      </c>
      <c r="AC25" s="50">
        <f t="shared" si="16"/>
        <v>117821.951</v>
      </c>
      <c r="AD25" s="50">
        <f t="shared" si="16"/>
        <v>117821.951</v>
      </c>
      <c r="AE25" s="50">
        <f t="shared" si="16"/>
        <v>117821.951</v>
      </c>
      <c r="AF25" s="50">
        <f t="shared" si="16"/>
        <v>117821.951</v>
      </c>
      <c r="AG25" s="50">
        <f t="shared" si="16"/>
        <v>117821.951</v>
      </c>
      <c r="AH25" s="50">
        <f t="shared" si="16"/>
        <v>117821.951</v>
      </c>
      <c r="AI25" s="50">
        <f t="shared" si="16"/>
        <v>117821.951</v>
      </c>
      <c r="AJ25" s="50">
        <f t="shared" si="16"/>
        <v>117821.951</v>
      </c>
      <c r="AK25" s="50">
        <f t="shared" si="16"/>
        <v>117821.951</v>
      </c>
      <c r="AL25" s="50">
        <f t="shared" si="16"/>
        <v>117821.951</v>
      </c>
      <c r="AM25" s="50">
        <f t="shared" si="16"/>
        <v>117821.951</v>
      </c>
      <c r="AN25" s="50">
        <f t="shared" si="16"/>
        <v>123072.1888</v>
      </c>
      <c r="AO25" s="50">
        <f t="shared" si="16"/>
        <v>123072.1888</v>
      </c>
      <c r="AP25" s="50">
        <f t="shared" si="16"/>
        <v>123072.1888</v>
      </c>
      <c r="AQ25" s="50">
        <f t="shared" si="16"/>
        <v>123072.1888</v>
      </c>
      <c r="AR25" s="50">
        <f t="shared" si="16"/>
        <v>123072.1888</v>
      </c>
      <c r="AS25" s="50">
        <f t="shared" si="16"/>
        <v>123072.1888</v>
      </c>
      <c r="AT25" s="50">
        <f t="shared" si="16"/>
        <v>123072.1888</v>
      </c>
      <c r="AU25" s="50">
        <f t="shared" si="16"/>
        <v>123072.1888</v>
      </c>
      <c r="AV25" s="50">
        <f t="shared" si="16"/>
        <v>123072.1888</v>
      </c>
      <c r="AW25" s="50">
        <f t="shared" si="16"/>
        <v>123072.1888</v>
      </c>
      <c r="AX25" s="50">
        <f t="shared" si="16"/>
        <v>123072.1888</v>
      </c>
      <c r="AY25" s="50">
        <f t="shared" si="16"/>
        <v>123072.1888</v>
      </c>
      <c r="AZ25" s="50">
        <f t="shared" si="16"/>
        <v>128558.6873</v>
      </c>
      <c r="BA25" s="50">
        <f t="shared" si="16"/>
        <v>128558.6873</v>
      </c>
      <c r="BB25" s="50">
        <f t="shared" si="16"/>
        <v>128558.6873</v>
      </c>
      <c r="BC25" s="50">
        <f t="shared" si="16"/>
        <v>128558.6873</v>
      </c>
      <c r="BD25" s="50">
        <f t="shared" si="16"/>
        <v>128558.6873</v>
      </c>
      <c r="BE25" s="50">
        <f t="shared" si="16"/>
        <v>128558.6873</v>
      </c>
      <c r="BF25" s="50">
        <f t="shared" si="16"/>
        <v>128558.6873</v>
      </c>
      <c r="BG25" s="50">
        <f t="shared" si="16"/>
        <v>128558.6873</v>
      </c>
      <c r="BH25" s="50">
        <f t="shared" si="16"/>
        <v>128558.6873</v>
      </c>
      <c r="BI25" s="50">
        <f t="shared" si="16"/>
        <v>128558.6873</v>
      </c>
      <c r="BJ25" s="50">
        <f t="shared" si="16"/>
        <v>128558.6873</v>
      </c>
      <c r="BK25" s="50">
        <f t="shared" si="16"/>
        <v>128558.6873</v>
      </c>
      <c r="BL25" s="50">
        <f t="shared" si="17"/>
        <v>7082887.525</v>
      </c>
      <c r="BM25" s="50">
        <f t="shared" si="18"/>
        <v>118048.1254</v>
      </c>
    </row>
    <row r="26" ht="22.5" customHeight="1">
      <c r="A26" s="27" t="s">
        <v>499</v>
      </c>
      <c r="B26" s="125"/>
      <c r="C26" s="122"/>
      <c r="D26" s="68">
        <f t="shared" ref="D26:BK26" si="19">IFERROR(D22-D25,"Revise Error")</f>
        <v>146498.9739</v>
      </c>
      <c r="E26" s="68">
        <f t="shared" si="19"/>
        <v>153812.7653</v>
      </c>
      <c r="F26" s="68">
        <f t="shared" si="19"/>
        <v>156589.3083</v>
      </c>
      <c r="G26" s="68">
        <f t="shared" si="19"/>
        <v>147276.5088</v>
      </c>
      <c r="H26" s="68">
        <f t="shared" si="19"/>
        <v>150844.4693</v>
      </c>
      <c r="I26" s="68">
        <f t="shared" si="19"/>
        <v>150091.8862</v>
      </c>
      <c r="J26" s="68">
        <f t="shared" si="19"/>
        <v>158838.0014</v>
      </c>
      <c r="K26" s="68">
        <f t="shared" si="19"/>
        <v>157351.6642</v>
      </c>
      <c r="L26" s="68">
        <f t="shared" si="19"/>
        <v>131581.2875</v>
      </c>
      <c r="M26" s="68">
        <f t="shared" si="19"/>
        <v>125202.2889</v>
      </c>
      <c r="N26" s="68">
        <f t="shared" si="19"/>
        <v>156446.4384</v>
      </c>
      <c r="O26" s="68">
        <f t="shared" si="19"/>
        <v>140629.4976</v>
      </c>
      <c r="P26" s="50">
        <f t="shared" si="19"/>
        <v>132692.3361</v>
      </c>
      <c r="Q26" s="50">
        <f t="shared" si="19"/>
        <v>139859.5862</v>
      </c>
      <c r="R26" s="50">
        <f t="shared" si="19"/>
        <v>142589.4713</v>
      </c>
      <c r="S26" s="50">
        <f t="shared" si="19"/>
        <v>133502.394</v>
      </c>
      <c r="T26" s="50">
        <f t="shared" si="19"/>
        <v>137006.9102</v>
      </c>
      <c r="U26" s="50">
        <f t="shared" si="19"/>
        <v>136288.1245</v>
      </c>
      <c r="V26" s="50">
        <f t="shared" si="19"/>
        <v>144854.6351</v>
      </c>
      <c r="W26" s="50">
        <f t="shared" si="19"/>
        <v>143418.3571</v>
      </c>
      <c r="X26" s="50">
        <f t="shared" si="19"/>
        <v>118241.9142</v>
      </c>
      <c r="Y26" s="50">
        <f t="shared" si="19"/>
        <v>112021.8613</v>
      </c>
      <c r="Z26" s="50">
        <f t="shared" si="19"/>
        <v>142582.6476</v>
      </c>
      <c r="AA26" s="50">
        <f t="shared" si="19"/>
        <v>127135.8972</v>
      </c>
      <c r="AB26" s="50">
        <f t="shared" si="19"/>
        <v>119068.8184</v>
      </c>
      <c r="AC26" s="50">
        <f t="shared" si="19"/>
        <v>126091.7723</v>
      </c>
      <c r="AD26" s="50">
        <f t="shared" si="19"/>
        <v>128775.1125</v>
      </c>
      <c r="AE26" s="50">
        <f t="shared" si="19"/>
        <v>119907.6744</v>
      </c>
      <c r="AF26" s="50">
        <f t="shared" si="19"/>
        <v>123349.1788</v>
      </c>
      <c r="AG26" s="50">
        <f t="shared" si="19"/>
        <v>122662.4169</v>
      </c>
      <c r="AH26" s="50">
        <f t="shared" si="19"/>
        <v>131052.3677</v>
      </c>
      <c r="AI26" s="50">
        <f t="shared" si="19"/>
        <v>129664.0216</v>
      </c>
      <c r="AJ26" s="50">
        <f t="shared" si="19"/>
        <v>105067.2077</v>
      </c>
      <c r="AK26" s="50">
        <f t="shared" si="19"/>
        <v>99001.57674</v>
      </c>
      <c r="AL26" s="50">
        <f t="shared" si="19"/>
        <v>128893.3169</v>
      </c>
      <c r="AM26" s="50">
        <f t="shared" si="19"/>
        <v>113807.5112</v>
      </c>
      <c r="AN26" s="50">
        <f t="shared" si="19"/>
        <v>105597.8629</v>
      </c>
      <c r="AO26" s="50">
        <f t="shared" si="19"/>
        <v>118302.8401</v>
      </c>
      <c r="AP26" s="50">
        <f t="shared" si="19"/>
        <v>115075.365</v>
      </c>
      <c r="AQ26" s="50">
        <f t="shared" si="19"/>
        <v>106423.1477</v>
      </c>
      <c r="AR26" s="50">
        <f t="shared" si="19"/>
        <v>109801.5495</v>
      </c>
      <c r="AS26" s="50">
        <f t="shared" si="19"/>
        <v>109145.2501</v>
      </c>
      <c r="AT26" s="50">
        <f t="shared" si="19"/>
        <v>117360.2835</v>
      </c>
      <c r="AU26" s="50">
        <f t="shared" si="19"/>
        <v>116018.0776</v>
      </c>
      <c r="AV26" s="50">
        <f t="shared" si="19"/>
        <v>91991.04184</v>
      </c>
      <c r="AW26" s="50">
        <f t="shared" si="19"/>
        <v>86076.47095</v>
      </c>
      <c r="AX26" s="50">
        <f t="shared" si="19"/>
        <v>115308.2648</v>
      </c>
      <c r="AY26" s="50">
        <f t="shared" si="19"/>
        <v>100576.9198</v>
      </c>
      <c r="AZ26" s="50">
        <f t="shared" si="19"/>
        <v>92212.22406</v>
      </c>
      <c r="BA26" s="50">
        <f t="shared" si="19"/>
        <v>98952.2228</v>
      </c>
      <c r="BB26" s="50">
        <f t="shared" si="19"/>
        <v>101542.5818</v>
      </c>
      <c r="BC26" s="50">
        <f t="shared" si="19"/>
        <v>93098.38764</v>
      </c>
      <c r="BD26" s="50">
        <f t="shared" si="19"/>
        <v>96414.79735</v>
      </c>
      <c r="BE26" s="50">
        <f t="shared" si="19"/>
        <v>95787.26632</v>
      </c>
      <c r="BF26" s="50">
        <f t="shared" si="19"/>
        <v>103831.8262</v>
      </c>
      <c r="BG26" s="50">
        <f t="shared" si="19"/>
        <v>102533.6083</v>
      </c>
      <c r="BH26" s="50">
        <f t="shared" si="19"/>
        <v>79058.62768</v>
      </c>
      <c r="BI26" s="50">
        <f t="shared" si="19"/>
        <v>73289.87686</v>
      </c>
      <c r="BJ26" s="50">
        <f t="shared" si="19"/>
        <v>101880.5856</v>
      </c>
      <c r="BK26" s="50">
        <f t="shared" si="19"/>
        <v>87492.4193</v>
      </c>
      <c r="BL26" s="50">
        <f t="shared" si="17"/>
        <v>7250469.697</v>
      </c>
      <c r="BM26" s="50">
        <f t="shared" si="18"/>
        <v>120841.1616</v>
      </c>
    </row>
    <row r="27" ht="22.5" customHeight="1">
      <c r="A27" s="27" t="s">
        <v>512</v>
      </c>
      <c r="B27" s="125"/>
      <c r="C27" s="122"/>
      <c r="D27" s="124">
        <f t="shared" ref="D27:BK27" si="20">IFERROR(D26/D19,"Revise Error")</f>
        <v>0.433655662</v>
      </c>
      <c r="E27" s="124">
        <f t="shared" si="20"/>
        <v>0.4406970894</v>
      </c>
      <c r="F27" s="124">
        <f t="shared" si="20"/>
        <v>0.4431037449</v>
      </c>
      <c r="G27" s="124">
        <f t="shared" si="20"/>
        <v>0.4336086943</v>
      </c>
      <c r="H27" s="124">
        <f t="shared" si="20"/>
        <v>0.4369480443</v>
      </c>
      <c r="I27" s="124">
        <f t="shared" si="20"/>
        <v>0.4359089232</v>
      </c>
      <c r="J27" s="124">
        <f t="shared" si="20"/>
        <v>0.4441124583</v>
      </c>
      <c r="K27" s="124">
        <f t="shared" si="20"/>
        <v>0.4424385047</v>
      </c>
      <c r="L27" s="124">
        <f t="shared" si="20"/>
        <v>0.4147947799</v>
      </c>
      <c r="M27" s="124">
        <f t="shared" si="20"/>
        <v>0.4066765348</v>
      </c>
      <c r="N27" s="124">
        <f t="shared" si="20"/>
        <v>0.4407646867</v>
      </c>
      <c r="O27" s="124">
        <f t="shared" si="20"/>
        <v>0.4243065163</v>
      </c>
      <c r="P27" s="33">
        <f t="shared" si="20"/>
        <v>0.4058394042</v>
      </c>
      <c r="Q27" s="33">
        <f t="shared" si="20"/>
        <v>0.4138807364</v>
      </c>
      <c r="R27" s="33">
        <f t="shared" si="20"/>
        <v>0.4166717746</v>
      </c>
      <c r="S27" s="33">
        <f t="shared" si="20"/>
        <v>0.4060335485</v>
      </c>
      <c r="T27" s="33">
        <f t="shared" si="20"/>
        <v>0.4098836688</v>
      </c>
      <c r="U27" s="33">
        <f t="shared" si="20"/>
        <v>0.4087928067</v>
      </c>
      <c r="V27" s="33">
        <f t="shared" si="20"/>
        <v>0.4181201354</v>
      </c>
      <c r="W27" s="33">
        <f t="shared" si="20"/>
        <v>0.4163110577</v>
      </c>
      <c r="X27" s="33">
        <f t="shared" si="20"/>
        <v>0.3852164302</v>
      </c>
      <c r="Y27" s="33">
        <f t="shared" si="20"/>
        <v>0.3761373768</v>
      </c>
      <c r="Z27" s="33">
        <f t="shared" si="20"/>
        <v>0.4146533395</v>
      </c>
      <c r="AA27" s="33">
        <f t="shared" si="20"/>
        <v>0.3961941668</v>
      </c>
      <c r="AB27" s="33">
        <f t="shared" si="20"/>
        <v>0.3761649785</v>
      </c>
      <c r="AC27" s="33">
        <f t="shared" si="20"/>
        <v>0.3852849979</v>
      </c>
      <c r="AD27" s="33">
        <f t="shared" si="20"/>
        <v>0.3884906051</v>
      </c>
      <c r="AE27" s="33">
        <f t="shared" si="20"/>
        <v>0.3766205054</v>
      </c>
      <c r="AF27" s="33">
        <f t="shared" si="20"/>
        <v>0.3810216833</v>
      </c>
      <c r="AG27" s="33">
        <f t="shared" si="20"/>
        <v>0.3798754329</v>
      </c>
      <c r="AH27" s="33">
        <f t="shared" si="20"/>
        <v>0.39041374</v>
      </c>
      <c r="AI27" s="33">
        <f t="shared" si="20"/>
        <v>0.3884594401</v>
      </c>
      <c r="AJ27" s="33">
        <f t="shared" si="20"/>
        <v>0.3536445092</v>
      </c>
      <c r="AK27" s="33">
        <f t="shared" si="20"/>
        <v>0.3435284951</v>
      </c>
      <c r="AL27" s="33">
        <f t="shared" si="20"/>
        <v>0.3868198698</v>
      </c>
      <c r="AM27" s="33">
        <f t="shared" si="20"/>
        <v>0.3662052733</v>
      </c>
      <c r="AN27" s="33">
        <f t="shared" si="20"/>
        <v>0.3444957439</v>
      </c>
      <c r="AO27" s="33">
        <f t="shared" si="20"/>
        <v>0.3631447113</v>
      </c>
      <c r="AP27" s="33">
        <f t="shared" si="20"/>
        <v>0.3583667196</v>
      </c>
      <c r="AQ27" s="33">
        <f t="shared" si="20"/>
        <v>0.3451668265</v>
      </c>
      <c r="AR27" s="33">
        <f t="shared" si="20"/>
        <v>0.3501634784</v>
      </c>
      <c r="AS27" s="33">
        <f t="shared" si="20"/>
        <v>0.348957774</v>
      </c>
      <c r="AT27" s="33">
        <f t="shared" si="20"/>
        <v>0.3608032426</v>
      </c>
      <c r="AU27" s="33">
        <f t="shared" si="20"/>
        <v>0.3586925364</v>
      </c>
      <c r="AV27" s="33">
        <f t="shared" si="20"/>
        <v>0.3198599669</v>
      </c>
      <c r="AW27" s="33">
        <f t="shared" si="20"/>
        <v>0.3086229251</v>
      </c>
      <c r="AX27" s="33">
        <f t="shared" si="20"/>
        <v>0.3570732613</v>
      </c>
      <c r="AY27" s="33">
        <f t="shared" si="20"/>
        <v>0.3341327656</v>
      </c>
      <c r="AZ27" s="33">
        <f t="shared" si="20"/>
        <v>0.3106119927</v>
      </c>
      <c r="BA27" s="33">
        <f t="shared" si="20"/>
        <v>0.322152012</v>
      </c>
      <c r="BB27" s="33">
        <f t="shared" si="20"/>
        <v>0.3262873759</v>
      </c>
      <c r="BC27" s="33">
        <f t="shared" si="20"/>
        <v>0.3116579267</v>
      </c>
      <c r="BD27" s="33">
        <f t="shared" si="20"/>
        <v>0.3172955224</v>
      </c>
      <c r="BE27" s="33">
        <f t="shared" si="20"/>
        <v>0.3160263607</v>
      </c>
      <c r="BF27" s="33">
        <f t="shared" si="20"/>
        <v>0.3292771783</v>
      </c>
      <c r="BG27" s="33">
        <f t="shared" si="20"/>
        <v>0.3269988037</v>
      </c>
      <c r="BH27" s="33">
        <f t="shared" si="20"/>
        <v>0.2838453002</v>
      </c>
      <c r="BI27" s="33">
        <f t="shared" si="20"/>
        <v>0.2714014251</v>
      </c>
      <c r="BJ27" s="33">
        <f t="shared" si="20"/>
        <v>0.3254024032</v>
      </c>
      <c r="BK27" s="33">
        <f t="shared" si="20"/>
        <v>0.2999623629</v>
      </c>
      <c r="BL27" s="33">
        <f>AVERAGE(D27:BK27)</f>
        <v>0.3745279705</v>
      </c>
    </row>
    <row r="28" ht="22.5" customHeight="1" outlineLevel="1">
      <c r="A28" s="69"/>
      <c r="B28" s="126" t="s">
        <v>540</v>
      </c>
      <c r="C28" s="127"/>
      <c r="D28" s="128">
        <f t="shared" ref="D28:BK28" si="21">(SUM(D30:D33)) * D$5</f>
        <v>25850</v>
      </c>
      <c r="E28" s="128">
        <f t="shared" si="21"/>
        <v>25850</v>
      </c>
      <c r="F28" s="128">
        <f t="shared" si="21"/>
        <v>25850</v>
      </c>
      <c r="G28" s="128">
        <f t="shared" si="21"/>
        <v>25850</v>
      </c>
      <c r="H28" s="128">
        <f t="shared" si="21"/>
        <v>25850</v>
      </c>
      <c r="I28" s="128">
        <f t="shared" si="21"/>
        <v>25850</v>
      </c>
      <c r="J28" s="128">
        <f t="shared" si="21"/>
        <v>25850</v>
      </c>
      <c r="K28" s="128">
        <f t="shared" si="21"/>
        <v>25850</v>
      </c>
      <c r="L28" s="128">
        <f t="shared" si="21"/>
        <v>25850</v>
      </c>
      <c r="M28" s="128">
        <f t="shared" si="21"/>
        <v>25850</v>
      </c>
      <c r="N28" s="128">
        <f t="shared" si="21"/>
        <v>25850</v>
      </c>
      <c r="O28" s="128">
        <f t="shared" si="21"/>
        <v>25850</v>
      </c>
      <c r="P28" s="128">
        <f t="shared" si="21"/>
        <v>27013.25</v>
      </c>
      <c r="Q28" s="128">
        <f t="shared" si="21"/>
        <v>27013.25</v>
      </c>
      <c r="R28" s="128">
        <f t="shared" si="21"/>
        <v>27013.25</v>
      </c>
      <c r="S28" s="128">
        <f t="shared" si="21"/>
        <v>27013.25</v>
      </c>
      <c r="T28" s="128">
        <f t="shared" si="21"/>
        <v>27013.25</v>
      </c>
      <c r="U28" s="128">
        <f t="shared" si="21"/>
        <v>27013.25</v>
      </c>
      <c r="V28" s="128">
        <f t="shared" si="21"/>
        <v>27013.25</v>
      </c>
      <c r="W28" s="128">
        <f t="shared" si="21"/>
        <v>27013.25</v>
      </c>
      <c r="X28" s="128">
        <f t="shared" si="21"/>
        <v>27013.25</v>
      </c>
      <c r="Y28" s="128">
        <f t="shared" si="21"/>
        <v>27013.25</v>
      </c>
      <c r="Z28" s="128">
        <f t="shared" si="21"/>
        <v>27013.25</v>
      </c>
      <c r="AA28" s="128">
        <f t="shared" si="21"/>
        <v>27013.25</v>
      </c>
      <c r="AB28" s="128">
        <f t="shared" si="21"/>
        <v>28228.84625</v>
      </c>
      <c r="AC28" s="128">
        <f t="shared" si="21"/>
        <v>28228.84625</v>
      </c>
      <c r="AD28" s="128">
        <f t="shared" si="21"/>
        <v>28228.84625</v>
      </c>
      <c r="AE28" s="128">
        <f t="shared" si="21"/>
        <v>28228.84625</v>
      </c>
      <c r="AF28" s="128">
        <f t="shared" si="21"/>
        <v>28228.84625</v>
      </c>
      <c r="AG28" s="128">
        <f t="shared" si="21"/>
        <v>28228.84625</v>
      </c>
      <c r="AH28" s="128">
        <f t="shared" si="21"/>
        <v>28228.84625</v>
      </c>
      <c r="AI28" s="128">
        <f t="shared" si="21"/>
        <v>28228.84625</v>
      </c>
      <c r="AJ28" s="128">
        <f t="shared" si="21"/>
        <v>28228.84625</v>
      </c>
      <c r="AK28" s="128">
        <f t="shared" si="21"/>
        <v>28228.84625</v>
      </c>
      <c r="AL28" s="128">
        <f t="shared" si="21"/>
        <v>28228.84625</v>
      </c>
      <c r="AM28" s="128">
        <f t="shared" si="21"/>
        <v>28228.84625</v>
      </c>
      <c r="AN28" s="128">
        <f t="shared" si="21"/>
        <v>29499.14433</v>
      </c>
      <c r="AO28" s="128">
        <f t="shared" si="21"/>
        <v>29499.14433</v>
      </c>
      <c r="AP28" s="128">
        <f t="shared" si="21"/>
        <v>29499.14433</v>
      </c>
      <c r="AQ28" s="128">
        <f t="shared" si="21"/>
        <v>29499.14433</v>
      </c>
      <c r="AR28" s="128">
        <f t="shared" si="21"/>
        <v>29499.14433</v>
      </c>
      <c r="AS28" s="128">
        <f t="shared" si="21"/>
        <v>29499.14433</v>
      </c>
      <c r="AT28" s="128">
        <f t="shared" si="21"/>
        <v>29499.14433</v>
      </c>
      <c r="AU28" s="128">
        <f t="shared" si="21"/>
        <v>29499.14433</v>
      </c>
      <c r="AV28" s="128">
        <f t="shared" si="21"/>
        <v>29499.14433</v>
      </c>
      <c r="AW28" s="128">
        <f t="shared" si="21"/>
        <v>29499.14433</v>
      </c>
      <c r="AX28" s="128">
        <f t="shared" si="21"/>
        <v>29499.14433</v>
      </c>
      <c r="AY28" s="128">
        <f t="shared" si="21"/>
        <v>29499.14433</v>
      </c>
      <c r="AZ28" s="128">
        <f t="shared" si="21"/>
        <v>30826.60583</v>
      </c>
      <c r="BA28" s="128">
        <f t="shared" si="21"/>
        <v>30826.60583</v>
      </c>
      <c r="BB28" s="128">
        <f t="shared" si="21"/>
        <v>30826.60583</v>
      </c>
      <c r="BC28" s="128">
        <f t="shared" si="21"/>
        <v>30826.60583</v>
      </c>
      <c r="BD28" s="128">
        <f t="shared" si="21"/>
        <v>30826.60583</v>
      </c>
      <c r="BE28" s="128">
        <f t="shared" si="21"/>
        <v>30826.60583</v>
      </c>
      <c r="BF28" s="128">
        <f t="shared" si="21"/>
        <v>30826.60583</v>
      </c>
      <c r="BG28" s="128">
        <f t="shared" si="21"/>
        <v>30826.60583</v>
      </c>
      <c r="BH28" s="128">
        <f t="shared" si="21"/>
        <v>30826.60583</v>
      </c>
      <c r="BI28" s="128">
        <f t="shared" si="21"/>
        <v>30826.60583</v>
      </c>
      <c r="BJ28" s="128">
        <f t="shared" si="21"/>
        <v>30826.60583</v>
      </c>
      <c r="BK28" s="128">
        <f t="shared" si="21"/>
        <v>30826.60583</v>
      </c>
      <c r="BL28" s="128">
        <f>SUM(D28:BK28)</f>
        <v>1697014.157</v>
      </c>
      <c r="BM28" s="128">
        <f>AVERAGE(D28:BK28)</f>
        <v>28283.56928</v>
      </c>
    </row>
    <row r="29" ht="22.5" customHeight="1" outlineLevel="2">
      <c r="A29" s="69"/>
      <c r="B29" s="126" t="s">
        <v>552</v>
      </c>
      <c r="C29" s="179"/>
      <c r="D29" s="181">
        <f t="shared" ref="D29:BK29" si="22">IFERROR(D28/D$19,"")</f>
        <v>0.07651929951</v>
      </c>
      <c r="E29" s="181">
        <f t="shared" si="22"/>
        <v>0.07406420227</v>
      </c>
      <c r="F29" s="181">
        <f t="shared" si="22"/>
        <v>0.07314823682</v>
      </c>
      <c r="G29" s="181">
        <f t="shared" si="22"/>
        <v>0.07610707804</v>
      </c>
      <c r="H29" s="181">
        <f t="shared" si="22"/>
        <v>0.07487915865</v>
      </c>
      <c r="I29" s="181">
        <f t="shared" si="22"/>
        <v>0.07507564833</v>
      </c>
      <c r="J29" s="181">
        <f t="shared" si="22"/>
        <v>0.0722768289</v>
      </c>
      <c r="K29" s="181">
        <f t="shared" si="22"/>
        <v>0.07268455283</v>
      </c>
      <c r="L29" s="181">
        <f t="shared" si="22"/>
        <v>0.08148913321</v>
      </c>
      <c r="M29" s="181">
        <f t="shared" si="22"/>
        <v>0.08396482619</v>
      </c>
      <c r="N29" s="181">
        <f t="shared" si="22"/>
        <v>0.07282854927</v>
      </c>
      <c r="O29" s="181">
        <f t="shared" si="22"/>
        <v>0.07799447223</v>
      </c>
      <c r="P29" s="181">
        <f t="shared" si="22"/>
        <v>0.08262000358</v>
      </c>
      <c r="Q29" s="181">
        <f t="shared" si="22"/>
        <v>0.07993920267</v>
      </c>
      <c r="R29" s="181">
        <f t="shared" si="22"/>
        <v>0.07893751702</v>
      </c>
      <c r="S29" s="181">
        <f t="shared" si="22"/>
        <v>0.08215797054</v>
      </c>
      <c r="T29" s="181">
        <f t="shared" si="22"/>
        <v>0.08081555886</v>
      </c>
      <c r="U29" s="181">
        <f t="shared" si="22"/>
        <v>0.08102556498</v>
      </c>
      <c r="V29" s="181">
        <f t="shared" si="22"/>
        <v>0.07797322976</v>
      </c>
      <c r="W29" s="181">
        <f t="shared" si="22"/>
        <v>0.07841335591</v>
      </c>
      <c r="X29" s="181">
        <f t="shared" si="22"/>
        <v>0.08800557575</v>
      </c>
      <c r="Y29" s="181">
        <f t="shared" si="22"/>
        <v>0.0907027689</v>
      </c>
      <c r="Z29" s="181">
        <f t="shared" si="22"/>
        <v>0.07855888854</v>
      </c>
      <c r="AA29" s="181">
        <f t="shared" si="22"/>
        <v>0.08418151215</v>
      </c>
      <c r="AB29" s="181">
        <f t="shared" si="22"/>
        <v>0.08918122719</v>
      </c>
      <c r="AC29" s="181">
        <f t="shared" si="22"/>
        <v>0.08625583387</v>
      </c>
      <c r="AD29" s="181">
        <f t="shared" si="22"/>
        <v>0.08516118795</v>
      </c>
      <c r="AE29" s="181">
        <f t="shared" si="22"/>
        <v>0.08866456957</v>
      </c>
      <c r="AF29" s="181">
        <f t="shared" si="22"/>
        <v>0.08719800669</v>
      </c>
      <c r="AG29" s="181">
        <f t="shared" si="22"/>
        <v>0.08742241886</v>
      </c>
      <c r="AH29" s="181">
        <f t="shared" si="22"/>
        <v>0.08409561484</v>
      </c>
      <c r="AI29" s="181">
        <f t="shared" si="22"/>
        <v>0.08457058229</v>
      </c>
      <c r="AJ29" s="181">
        <f t="shared" si="22"/>
        <v>0.09501514981</v>
      </c>
      <c r="AK29" s="181">
        <f t="shared" si="22"/>
        <v>0.09795210734</v>
      </c>
      <c r="AL29" s="181">
        <f t="shared" si="22"/>
        <v>0.08471718236</v>
      </c>
      <c r="AM29" s="181">
        <f t="shared" si="22"/>
        <v>0.09083365633</v>
      </c>
      <c r="AN29" s="181">
        <f t="shared" si="22"/>
        <v>0.09623613008</v>
      </c>
      <c r="AO29" s="181">
        <f t="shared" si="22"/>
        <v>0.09055115025</v>
      </c>
      <c r="AP29" s="181">
        <f t="shared" si="22"/>
        <v>0.0918659835</v>
      </c>
      <c r="AQ29" s="181">
        <f t="shared" si="22"/>
        <v>0.09567585865</v>
      </c>
      <c r="AR29" s="181">
        <f t="shared" si="22"/>
        <v>0.09407447373</v>
      </c>
      <c r="AS29" s="181">
        <f t="shared" si="22"/>
        <v>0.09431428052</v>
      </c>
      <c r="AT29" s="181">
        <f t="shared" si="22"/>
        <v>0.0906898536</v>
      </c>
      <c r="AU29" s="181">
        <f t="shared" si="22"/>
        <v>0.09120236362</v>
      </c>
      <c r="AV29" s="181">
        <f t="shared" si="22"/>
        <v>0.1025708062</v>
      </c>
      <c r="AW29" s="181">
        <f t="shared" si="22"/>
        <v>0.1057677216</v>
      </c>
      <c r="AX29" s="181">
        <f t="shared" si="22"/>
        <v>0.09134952896</v>
      </c>
      <c r="AY29" s="181">
        <f t="shared" si="22"/>
        <v>0.09800092004</v>
      </c>
      <c r="AZ29" s="181">
        <f t="shared" si="22"/>
        <v>0.103837789</v>
      </c>
      <c r="BA29" s="181">
        <f t="shared" si="22"/>
        <v>0.100360081</v>
      </c>
      <c r="BB29" s="181">
        <f t="shared" si="22"/>
        <v>0.09905531397</v>
      </c>
      <c r="BC29" s="181">
        <f t="shared" si="22"/>
        <v>0.1031957298</v>
      </c>
      <c r="BD29" s="181">
        <f t="shared" si="22"/>
        <v>0.1014485771</v>
      </c>
      <c r="BE29" s="181">
        <f t="shared" si="22"/>
        <v>0.1017047508</v>
      </c>
      <c r="BF29" s="181">
        <f t="shared" si="22"/>
        <v>0.097759022</v>
      </c>
      <c r="BG29" s="181">
        <f t="shared" si="22"/>
        <v>0.09831179646</v>
      </c>
      <c r="BH29" s="181">
        <f t="shared" si="22"/>
        <v>0.1106771954</v>
      </c>
      <c r="BI29" s="181">
        <f t="shared" si="22"/>
        <v>0.1141547116</v>
      </c>
      <c r="BJ29" s="181">
        <f t="shared" si="22"/>
        <v>0.09845891205</v>
      </c>
      <c r="BK29" s="181">
        <f t="shared" si="22"/>
        <v>0.1056871167</v>
      </c>
      <c r="BL29" s="181">
        <f>AVERAGE(D29:BK29)</f>
        <v>0.08887301231</v>
      </c>
    </row>
    <row r="30" ht="22.5" customHeight="1" outlineLevel="2">
      <c r="A30" s="69"/>
      <c r="B30" s="184"/>
      <c r="C30" s="185" t="s">
        <v>555</v>
      </c>
      <c r="D30" s="186">
        <f>10350*(1+InflacionAnual)^(YEAR(D$3)-AnioBase)*IF((D$9+D$14)&lt;=40,Tramo1,IF((D$9+D$14)&lt;=80,Tramo2,Tramo3))</f>
        <v>10350</v>
      </c>
      <c r="E30" s="186">
        <f>10350*(1+InflacionAnual)^(YEAR(E$3)-AnioBase)*IF((E$9+E$14)&lt;=40,Tramo1,IF((E$9+E$14)&lt;=80,Tramo2,Tramo3))</f>
        <v>10350</v>
      </c>
      <c r="F30" s="186">
        <f>10350*(1+InflacionAnual)^(YEAR(F$3)-AnioBase)*IF((F$9+F$14)&lt;=40,Tramo1,IF((F$9+F$14)&lt;=80,Tramo2,Tramo3))</f>
        <v>10350</v>
      </c>
      <c r="G30" s="186">
        <f>10350*(1+InflacionAnual)^(YEAR(G$3)-AnioBase)*IF((G$9+G$14)&lt;=40,Tramo1,IF((G$9+G$14)&lt;=80,Tramo2,Tramo3))</f>
        <v>10350</v>
      </c>
      <c r="H30" s="186">
        <f>10350*(1+InflacionAnual)^(YEAR(H$3)-AnioBase)*IF((H$9+H$14)&lt;=40,Tramo1,IF((H$9+H$14)&lt;=80,Tramo2,Tramo3))</f>
        <v>10350</v>
      </c>
      <c r="I30" s="186">
        <f>10350*(1+InflacionAnual)^(YEAR(I$3)-AnioBase)*IF((I$9+I$14)&lt;=40,Tramo1,IF((I$9+I$14)&lt;=80,Tramo2,Tramo3))</f>
        <v>10350</v>
      </c>
      <c r="J30" s="186">
        <f>10350*(1+InflacionAnual)^(YEAR(J$3)-AnioBase)*IF((J$9+J$14)&lt;=40,Tramo1,IF((J$9+J$14)&lt;=80,Tramo2,Tramo3))</f>
        <v>10350</v>
      </c>
      <c r="K30" s="186">
        <f>10350*(1+InflacionAnual)^(YEAR(K$3)-AnioBase)*IF((K$9+K$14)&lt;=40,Tramo1,IF((K$9+K$14)&lt;=80,Tramo2,Tramo3))</f>
        <v>10350</v>
      </c>
      <c r="L30" s="186">
        <f>10350*(1+InflacionAnual)^(YEAR(L$3)-AnioBase)*IF((L$9+L$14)&lt;=40,Tramo1,IF((L$9+L$14)&lt;=80,Tramo2,Tramo3))</f>
        <v>10350</v>
      </c>
      <c r="M30" s="186">
        <f>10350*(1+InflacionAnual)^(YEAR(M$3)-AnioBase)*IF((M$9+M$14)&lt;=40,Tramo1,IF((M$9+M$14)&lt;=80,Tramo2,Tramo3))</f>
        <v>10350</v>
      </c>
      <c r="N30" s="186">
        <f>10350*(1+InflacionAnual)^(YEAR(N$3)-AnioBase)*IF((N$9+N$14)&lt;=40,Tramo1,IF((N$9+N$14)&lt;=80,Tramo2,Tramo3))</f>
        <v>10350</v>
      </c>
      <c r="O30" s="186">
        <f>10350*(1+InflacionAnual)^(YEAR(O$3)-AnioBase)*IF((O$9+O$14)&lt;=40,Tramo1,IF((O$9+O$14)&lt;=80,Tramo2,Tramo3))</f>
        <v>10350</v>
      </c>
      <c r="P30" s="186">
        <f>10350*(1+InflacionAnual)^(YEAR(P$3)-AnioBase)*IF((P$9+P$14)&lt;=40,Tramo1,IF((P$9+P$14)&lt;=80,Tramo2,Tramo3))</f>
        <v>10815.75</v>
      </c>
      <c r="Q30" s="186">
        <f>10350*(1+InflacionAnual)^(YEAR(Q$3)-AnioBase)*IF((Q$9+Q$14)&lt;=40,Tramo1,IF((Q$9+Q$14)&lt;=80,Tramo2,Tramo3))</f>
        <v>10815.75</v>
      </c>
      <c r="R30" s="186">
        <f>10350*(1+InflacionAnual)^(YEAR(R$3)-AnioBase)*IF((R$9+R$14)&lt;=40,Tramo1,IF((R$9+R$14)&lt;=80,Tramo2,Tramo3))</f>
        <v>10815.75</v>
      </c>
      <c r="S30" s="186">
        <f>10350*(1+InflacionAnual)^(YEAR(S$3)-AnioBase)*IF((S$9+S$14)&lt;=40,Tramo1,IF((S$9+S$14)&lt;=80,Tramo2,Tramo3))</f>
        <v>10815.75</v>
      </c>
      <c r="T30" s="186">
        <f>10350*(1+InflacionAnual)^(YEAR(T$3)-AnioBase)*IF((T$9+T$14)&lt;=40,Tramo1,IF((T$9+T$14)&lt;=80,Tramo2,Tramo3))</f>
        <v>10815.75</v>
      </c>
      <c r="U30" s="186">
        <f>10350*(1+InflacionAnual)^(YEAR(U$3)-AnioBase)*IF((U$9+U$14)&lt;=40,Tramo1,IF((U$9+U$14)&lt;=80,Tramo2,Tramo3))</f>
        <v>10815.75</v>
      </c>
      <c r="V30" s="186">
        <f>10350*(1+InflacionAnual)^(YEAR(V$3)-AnioBase)*IF((V$9+V$14)&lt;=40,Tramo1,IF((V$9+V$14)&lt;=80,Tramo2,Tramo3))</f>
        <v>10815.75</v>
      </c>
      <c r="W30" s="186">
        <f>10350*(1+InflacionAnual)^(YEAR(W$3)-AnioBase)*IF((W$9+W$14)&lt;=40,Tramo1,IF((W$9+W$14)&lt;=80,Tramo2,Tramo3))</f>
        <v>10815.75</v>
      </c>
      <c r="X30" s="186">
        <f>10350*(1+InflacionAnual)^(YEAR(X$3)-AnioBase)*IF((X$9+X$14)&lt;=40,Tramo1,IF((X$9+X$14)&lt;=80,Tramo2,Tramo3))</f>
        <v>10815.75</v>
      </c>
      <c r="Y30" s="186">
        <f>10350*(1+InflacionAnual)^(YEAR(Y$3)-AnioBase)*IF((Y$9+Y$14)&lt;=40,Tramo1,IF((Y$9+Y$14)&lt;=80,Tramo2,Tramo3))</f>
        <v>10815.75</v>
      </c>
      <c r="Z30" s="186">
        <f>10350*(1+InflacionAnual)^(YEAR(Z$3)-AnioBase)*IF((Z$9+Z$14)&lt;=40,Tramo1,IF((Z$9+Z$14)&lt;=80,Tramo2,Tramo3))</f>
        <v>10815.75</v>
      </c>
      <c r="AA30" s="186">
        <f>10350*(1+InflacionAnual)^(YEAR(AA$3)-AnioBase)*IF((AA$9+AA$14)&lt;=40,Tramo1,IF((AA$9+AA$14)&lt;=80,Tramo2,Tramo3))</f>
        <v>10815.75</v>
      </c>
      <c r="AB30" s="186">
        <f>10350*(1+InflacionAnual)^(YEAR(AB$3)-AnioBase)*IF((AB$9+AB$14)&lt;=40,Tramo1,IF((AB$9+AB$14)&lt;=80,Tramo2,Tramo3))</f>
        <v>11302.45875</v>
      </c>
      <c r="AC30" s="186">
        <f>10350*(1+InflacionAnual)^(YEAR(AC$3)-AnioBase)*IF((AC$9+AC$14)&lt;=40,Tramo1,IF((AC$9+AC$14)&lt;=80,Tramo2,Tramo3))</f>
        <v>11302.45875</v>
      </c>
      <c r="AD30" s="186">
        <f>10350*(1+InflacionAnual)^(YEAR(AD$3)-AnioBase)*IF((AD$9+AD$14)&lt;=40,Tramo1,IF((AD$9+AD$14)&lt;=80,Tramo2,Tramo3))</f>
        <v>11302.45875</v>
      </c>
      <c r="AE30" s="186">
        <f>10350*(1+InflacionAnual)^(YEAR(AE$3)-AnioBase)*IF((AE$9+AE$14)&lt;=40,Tramo1,IF((AE$9+AE$14)&lt;=80,Tramo2,Tramo3))</f>
        <v>11302.45875</v>
      </c>
      <c r="AF30" s="186">
        <f>10350*(1+InflacionAnual)^(YEAR(AF$3)-AnioBase)*IF((AF$9+AF$14)&lt;=40,Tramo1,IF((AF$9+AF$14)&lt;=80,Tramo2,Tramo3))</f>
        <v>11302.45875</v>
      </c>
      <c r="AG30" s="186">
        <f>10350*(1+InflacionAnual)^(YEAR(AG$3)-AnioBase)*IF((AG$9+AG$14)&lt;=40,Tramo1,IF((AG$9+AG$14)&lt;=80,Tramo2,Tramo3))</f>
        <v>11302.45875</v>
      </c>
      <c r="AH30" s="186">
        <f>10350*(1+InflacionAnual)^(YEAR(AH$3)-AnioBase)*IF((AH$9+AH$14)&lt;=40,Tramo1,IF((AH$9+AH$14)&lt;=80,Tramo2,Tramo3))</f>
        <v>11302.45875</v>
      </c>
      <c r="AI30" s="186">
        <f>10350*(1+InflacionAnual)^(YEAR(AI$3)-AnioBase)*IF((AI$9+AI$14)&lt;=40,Tramo1,IF((AI$9+AI$14)&lt;=80,Tramo2,Tramo3))</f>
        <v>11302.45875</v>
      </c>
      <c r="AJ30" s="186">
        <f>10350*(1+InflacionAnual)^(YEAR(AJ$3)-AnioBase)*IF((AJ$9+AJ$14)&lt;=40,Tramo1,IF((AJ$9+AJ$14)&lt;=80,Tramo2,Tramo3))</f>
        <v>11302.45875</v>
      </c>
      <c r="AK30" s="186">
        <f>10350*(1+InflacionAnual)^(YEAR(AK$3)-AnioBase)*IF((AK$9+AK$14)&lt;=40,Tramo1,IF((AK$9+AK$14)&lt;=80,Tramo2,Tramo3))</f>
        <v>11302.45875</v>
      </c>
      <c r="AL30" s="186">
        <f>10350*(1+InflacionAnual)^(YEAR(AL$3)-AnioBase)*IF((AL$9+AL$14)&lt;=40,Tramo1,IF((AL$9+AL$14)&lt;=80,Tramo2,Tramo3))</f>
        <v>11302.45875</v>
      </c>
      <c r="AM30" s="186">
        <f>10350*(1+InflacionAnual)^(YEAR(AM$3)-AnioBase)*IF((AM$9+AM$14)&lt;=40,Tramo1,IF((AM$9+AM$14)&lt;=80,Tramo2,Tramo3))</f>
        <v>11302.45875</v>
      </c>
      <c r="AN30" s="186">
        <f>10350*(1+InflacionAnual)^(YEAR(AN$3)-AnioBase)*IF((AN$9+AN$14)&lt;=40,Tramo1,IF((AN$9+AN$14)&lt;=80,Tramo2,Tramo3))</f>
        <v>11811.06939</v>
      </c>
      <c r="AO30" s="186">
        <f>10350*(1+InflacionAnual)^(YEAR(AO$3)-AnioBase)*IF((AO$9+AO$14)&lt;=40,Tramo1,IF((AO$9+AO$14)&lt;=80,Tramo2,Tramo3))</f>
        <v>11811.06939</v>
      </c>
      <c r="AP30" s="186">
        <f>10350*(1+InflacionAnual)^(YEAR(AP$3)-AnioBase)*IF((AP$9+AP$14)&lt;=40,Tramo1,IF((AP$9+AP$14)&lt;=80,Tramo2,Tramo3))</f>
        <v>11811.06939</v>
      </c>
      <c r="AQ30" s="186">
        <f>10350*(1+InflacionAnual)^(YEAR(AQ$3)-AnioBase)*IF((AQ$9+AQ$14)&lt;=40,Tramo1,IF((AQ$9+AQ$14)&lt;=80,Tramo2,Tramo3))</f>
        <v>11811.06939</v>
      </c>
      <c r="AR30" s="186">
        <f>10350*(1+InflacionAnual)^(YEAR(AR$3)-AnioBase)*IF((AR$9+AR$14)&lt;=40,Tramo1,IF((AR$9+AR$14)&lt;=80,Tramo2,Tramo3))</f>
        <v>11811.06939</v>
      </c>
      <c r="AS30" s="186">
        <f>10350*(1+InflacionAnual)^(YEAR(AS$3)-AnioBase)*IF((AS$9+AS$14)&lt;=40,Tramo1,IF((AS$9+AS$14)&lt;=80,Tramo2,Tramo3))</f>
        <v>11811.06939</v>
      </c>
      <c r="AT30" s="186">
        <f>10350*(1+InflacionAnual)^(YEAR(AT$3)-AnioBase)*IF((AT$9+AT$14)&lt;=40,Tramo1,IF((AT$9+AT$14)&lt;=80,Tramo2,Tramo3))</f>
        <v>11811.06939</v>
      </c>
      <c r="AU30" s="186">
        <f>10350*(1+InflacionAnual)^(YEAR(AU$3)-AnioBase)*IF((AU$9+AU$14)&lt;=40,Tramo1,IF((AU$9+AU$14)&lt;=80,Tramo2,Tramo3))</f>
        <v>11811.06939</v>
      </c>
      <c r="AV30" s="186">
        <f>10350*(1+InflacionAnual)^(YEAR(AV$3)-AnioBase)*IF((AV$9+AV$14)&lt;=40,Tramo1,IF((AV$9+AV$14)&lt;=80,Tramo2,Tramo3))</f>
        <v>11811.06939</v>
      </c>
      <c r="AW30" s="186">
        <f>10350*(1+InflacionAnual)^(YEAR(AW$3)-AnioBase)*IF((AW$9+AW$14)&lt;=40,Tramo1,IF((AW$9+AW$14)&lt;=80,Tramo2,Tramo3))</f>
        <v>11811.06939</v>
      </c>
      <c r="AX30" s="186">
        <f>10350*(1+InflacionAnual)^(YEAR(AX$3)-AnioBase)*IF((AX$9+AX$14)&lt;=40,Tramo1,IF((AX$9+AX$14)&lt;=80,Tramo2,Tramo3))</f>
        <v>11811.06939</v>
      </c>
      <c r="AY30" s="186">
        <f>10350*(1+InflacionAnual)^(YEAR(AY$3)-AnioBase)*IF((AY$9+AY$14)&lt;=40,Tramo1,IF((AY$9+AY$14)&lt;=80,Tramo2,Tramo3))</f>
        <v>11811.06939</v>
      </c>
      <c r="AZ30" s="186">
        <f>10350*(1+InflacionAnual)^(YEAR(AZ$3)-AnioBase)*IF((AZ$9+AZ$14)&lt;=40,Tramo1,IF((AZ$9+AZ$14)&lt;=80,Tramo2,Tramo3))</f>
        <v>12342.56752</v>
      </c>
      <c r="BA30" s="186">
        <f>10350*(1+InflacionAnual)^(YEAR(BA$3)-AnioBase)*IF((BA$9+BA$14)&lt;=40,Tramo1,IF((BA$9+BA$14)&lt;=80,Tramo2,Tramo3))</f>
        <v>12342.56752</v>
      </c>
      <c r="BB30" s="186">
        <f>10350*(1+InflacionAnual)^(YEAR(BB$3)-AnioBase)*IF((BB$9+BB$14)&lt;=40,Tramo1,IF((BB$9+BB$14)&lt;=80,Tramo2,Tramo3))</f>
        <v>12342.56752</v>
      </c>
      <c r="BC30" s="186">
        <f>10350*(1+InflacionAnual)^(YEAR(BC$3)-AnioBase)*IF((BC$9+BC$14)&lt;=40,Tramo1,IF((BC$9+BC$14)&lt;=80,Tramo2,Tramo3))</f>
        <v>12342.56752</v>
      </c>
      <c r="BD30" s="186">
        <f>10350*(1+InflacionAnual)^(YEAR(BD$3)-AnioBase)*IF((BD$9+BD$14)&lt;=40,Tramo1,IF((BD$9+BD$14)&lt;=80,Tramo2,Tramo3))</f>
        <v>12342.56752</v>
      </c>
      <c r="BE30" s="186">
        <f>10350*(1+InflacionAnual)^(YEAR(BE$3)-AnioBase)*IF((BE$9+BE$14)&lt;=40,Tramo1,IF((BE$9+BE$14)&lt;=80,Tramo2,Tramo3))</f>
        <v>12342.56752</v>
      </c>
      <c r="BF30" s="186">
        <f>10350*(1+InflacionAnual)^(YEAR(BF$3)-AnioBase)*IF((BF$9+BF$14)&lt;=40,Tramo1,IF((BF$9+BF$14)&lt;=80,Tramo2,Tramo3))</f>
        <v>12342.56752</v>
      </c>
      <c r="BG30" s="186">
        <f>10350*(1+InflacionAnual)^(YEAR(BG$3)-AnioBase)*IF((BG$9+BG$14)&lt;=40,Tramo1,IF((BG$9+BG$14)&lt;=80,Tramo2,Tramo3))</f>
        <v>12342.56752</v>
      </c>
      <c r="BH30" s="186">
        <f>10350*(1+InflacionAnual)^(YEAR(BH$3)-AnioBase)*IF((BH$9+BH$14)&lt;=40,Tramo1,IF((BH$9+BH$14)&lt;=80,Tramo2,Tramo3))</f>
        <v>12342.56752</v>
      </c>
      <c r="BI30" s="186">
        <f>10350*(1+InflacionAnual)^(YEAR(BI$3)-AnioBase)*IF((BI$9+BI$14)&lt;=40,Tramo1,IF((BI$9+BI$14)&lt;=80,Tramo2,Tramo3))</f>
        <v>12342.56752</v>
      </c>
      <c r="BJ30" s="186">
        <f>10350*(1+InflacionAnual)^(YEAR(BJ$3)-AnioBase)*IF((BJ$9+BJ$14)&lt;=40,Tramo1,IF((BJ$9+BJ$14)&lt;=80,Tramo2,Tramo3))</f>
        <v>12342.56752</v>
      </c>
      <c r="BK30" s="186">
        <f>10350*(1+InflacionAnual)^(YEAR(BK$3)-AnioBase)*IF((BK$9+BK$14)&lt;=40,Tramo1,IF((BK$9+BK$14)&lt;=80,Tramo2,Tramo3))</f>
        <v>12342.56752</v>
      </c>
      <c r="BL30" s="186">
        <f t="shared" ref="BL30:BL31" si="23">SUM(D30:BK30)</f>
        <v>679462.1479</v>
      </c>
      <c r="BM30" s="186">
        <f t="shared" ref="BM30:BM31" si="24">AVERAGE(D30:BK30)</f>
        <v>11324.36913</v>
      </c>
    </row>
    <row r="31" ht="22.5" customHeight="1" outlineLevel="2">
      <c r="A31" s="69"/>
      <c r="B31" s="184"/>
      <c r="C31" s="185" t="s">
        <v>583</v>
      </c>
      <c r="D31" s="186">
        <f>15500*(1+InflacionAnual)^(YEAR(D$3)-AnioBase)*IF((D$9+D$14)&lt;=40,Tramo1,IF((D$9+D$14)&lt;=80,Tramo2,Tramo3))</f>
        <v>15500</v>
      </c>
      <c r="E31" s="186">
        <f>15500*(1+InflacionAnual)^(YEAR(E$3)-AnioBase)*IF((E$9+E$14)&lt;=40,Tramo1,IF((E$9+E$14)&lt;=80,Tramo2,Tramo3))</f>
        <v>15500</v>
      </c>
      <c r="F31" s="186">
        <f>15500*(1+InflacionAnual)^(YEAR(F$3)-AnioBase)*IF((F$9+F$14)&lt;=40,Tramo1,IF((F$9+F$14)&lt;=80,Tramo2,Tramo3))</f>
        <v>15500</v>
      </c>
      <c r="G31" s="186">
        <f>15500*(1+InflacionAnual)^(YEAR(G$3)-AnioBase)*IF((G$9+G$14)&lt;=40,Tramo1,IF((G$9+G$14)&lt;=80,Tramo2,Tramo3))</f>
        <v>15500</v>
      </c>
      <c r="H31" s="186">
        <f>15500*(1+InflacionAnual)^(YEAR(H$3)-AnioBase)*IF((H$9+H$14)&lt;=40,Tramo1,IF((H$9+H$14)&lt;=80,Tramo2,Tramo3))</f>
        <v>15500</v>
      </c>
      <c r="I31" s="186">
        <f>15500*(1+InflacionAnual)^(YEAR(I$3)-AnioBase)*IF((I$9+I$14)&lt;=40,Tramo1,IF((I$9+I$14)&lt;=80,Tramo2,Tramo3))</f>
        <v>15500</v>
      </c>
      <c r="J31" s="186">
        <f>15500*(1+InflacionAnual)^(YEAR(J$3)-AnioBase)*IF((J$9+J$14)&lt;=40,Tramo1,IF((J$9+J$14)&lt;=80,Tramo2,Tramo3))</f>
        <v>15500</v>
      </c>
      <c r="K31" s="186">
        <f>15500*(1+InflacionAnual)^(YEAR(K$3)-AnioBase)*IF((K$9+K$14)&lt;=40,Tramo1,IF((K$9+K$14)&lt;=80,Tramo2,Tramo3))</f>
        <v>15500</v>
      </c>
      <c r="L31" s="186">
        <f>15500*(1+InflacionAnual)^(YEAR(L$3)-AnioBase)*IF((L$9+L$14)&lt;=40,Tramo1,IF((L$9+L$14)&lt;=80,Tramo2,Tramo3))</f>
        <v>15500</v>
      </c>
      <c r="M31" s="186">
        <f>15500*(1+InflacionAnual)^(YEAR(M$3)-AnioBase)*IF((M$9+M$14)&lt;=40,Tramo1,IF((M$9+M$14)&lt;=80,Tramo2,Tramo3))</f>
        <v>15500</v>
      </c>
      <c r="N31" s="186">
        <f>15500*(1+InflacionAnual)^(YEAR(N$3)-AnioBase)*IF((N$9+N$14)&lt;=40,Tramo1,IF((N$9+N$14)&lt;=80,Tramo2,Tramo3))</f>
        <v>15500</v>
      </c>
      <c r="O31" s="186">
        <f>15500*(1+InflacionAnual)^(YEAR(O$3)-AnioBase)*IF((O$9+O$14)&lt;=40,Tramo1,IF((O$9+O$14)&lt;=80,Tramo2,Tramo3))</f>
        <v>15500</v>
      </c>
      <c r="P31" s="186">
        <f>15500*(1+InflacionAnual)^(YEAR(P$3)-AnioBase)*IF((P$9+P$14)&lt;=40,Tramo1,IF((P$9+P$14)&lt;=80,Tramo2,Tramo3))</f>
        <v>16197.5</v>
      </c>
      <c r="Q31" s="186">
        <f>15500*(1+InflacionAnual)^(YEAR(Q$3)-AnioBase)*IF((Q$9+Q$14)&lt;=40,Tramo1,IF((Q$9+Q$14)&lt;=80,Tramo2,Tramo3))</f>
        <v>16197.5</v>
      </c>
      <c r="R31" s="186">
        <f>15500*(1+InflacionAnual)^(YEAR(R$3)-AnioBase)*IF((R$9+R$14)&lt;=40,Tramo1,IF((R$9+R$14)&lt;=80,Tramo2,Tramo3))</f>
        <v>16197.5</v>
      </c>
      <c r="S31" s="186">
        <f>15500*(1+InflacionAnual)^(YEAR(S$3)-AnioBase)*IF((S$9+S$14)&lt;=40,Tramo1,IF((S$9+S$14)&lt;=80,Tramo2,Tramo3))</f>
        <v>16197.5</v>
      </c>
      <c r="T31" s="186">
        <f>15500*(1+InflacionAnual)^(YEAR(T$3)-AnioBase)*IF((T$9+T$14)&lt;=40,Tramo1,IF((T$9+T$14)&lt;=80,Tramo2,Tramo3))</f>
        <v>16197.5</v>
      </c>
      <c r="U31" s="186">
        <f>15500*(1+InflacionAnual)^(YEAR(U$3)-AnioBase)*IF((U$9+U$14)&lt;=40,Tramo1,IF((U$9+U$14)&lt;=80,Tramo2,Tramo3))</f>
        <v>16197.5</v>
      </c>
      <c r="V31" s="186">
        <f>15500*(1+InflacionAnual)^(YEAR(V$3)-AnioBase)*IF((V$9+V$14)&lt;=40,Tramo1,IF((V$9+V$14)&lt;=80,Tramo2,Tramo3))</f>
        <v>16197.5</v>
      </c>
      <c r="W31" s="186">
        <f>15500*(1+InflacionAnual)^(YEAR(W$3)-AnioBase)*IF((W$9+W$14)&lt;=40,Tramo1,IF((W$9+W$14)&lt;=80,Tramo2,Tramo3))</f>
        <v>16197.5</v>
      </c>
      <c r="X31" s="186">
        <f>15500*(1+InflacionAnual)^(YEAR(X$3)-AnioBase)*IF((X$9+X$14)&lt;=40,Tramo1,IF((X$9+X$14)&lt;=80,Tramo2,Tramo3))</f>
        <v>16197.5</v>
      </c>
      <c r="Y31" s="186">
        <f>15500*(1+InflacionAnual)^(YEAR(Y$3)-AnioBase)*IF((Y$9+Y$14)&lt;=40,Tramo1,IF((Y$9+Y$14)&lt;=80,Tramo2,Tramo3))</f>
        <v>16197.5</v>
      </c>
      <c r="Z31" s="186">
        <f>15500*(1+InflacionAnual)^(YEAR(Z$3)-AnioBase)*IF((Z$9+Z$14)&lt;=40,Tramo1,IF((Z$9+Z$14)&lt;=80,Tramo2,Tramo3))</f>
        <v>16197.5</v>
      </c>
      <c r="AA31" s="186">
        <f>15500*(1+InflacionAnual)^(YEAR(AA$3)-AnioBase)*IF((AA$9+AA$14)&lt;=40,Tramo1,IF((AA$9+AA$14)&lt;=80,Tramo2,Tramo3))</f>
        <v>16197.5</v>
      </c>
      <c r="AB31" s="186">
        <f>15500*(1+InflacionAnual)^(YEAR(AB$3)-AnioBase)*IF((AB$9+AB$14)&lt;=40,Tramo1,IF((AB$9+AB$14)&lt;=80,Tramo2,Tramo3))</f>
        <v>16926.3875</v>
      </c>
      <c r="AC31" s="186">
        <f>15500*(1+InflacionAnual)^(YEAR(AC$3)-AnioBase)*IF((AC$9+AC$14)&lt;=40,Tramo1,IF((AC$9+AC$14)&lt;=80,Tramo2,Tramo3))</f>
        <v>16926.3875</v>
      </c>
      <c r="AD31" s="186">
        <f>15500*(1+InflacionAnual)^(YEAR(AD$3)-AnioBase)*IF((AD$9+AD$14)&lt;=40,Tramo1,IF((AD$9+AD$14)&lt;=80,Tramo2,Tramo3))</f>
        <v>16926.3875</v>
      </c>
      <c r="AE31" s="186">
        <f>15500*(1+InflacionAnual)^(YEAR(AE$3)-AnioBase)*IF((AE$9+AE$14)&lt;=40,Tramo1,IF((AE$9+AE$14)&lt;=80,Tramo2,Tramo3))</f>
        <v>16926.3875</v>
      </c>
      <c r="AF31" s="186">
        <f>15500*(1+InflacionAnual)^(YEAR(AF$3)-AnioBase)*IF((AF$9+AF$14)&lt;=40,Tramo1,IF((AF$9+AF$14)&lt;=80,Tramo2,Tramo3))</f>
        <v>16926.3875</v>
      </c>
      <c r="AG31" s="186">
        <f>15500*(1+InflacionAnual)^(YEAR(AG$3)-AnioBase)*IF((AG$9+AG$14)&lt;=40,Tramo1,IF((AG$9+AG$14)&lt;=80,Tramo2,Tramo3))</f>
        <v>16926.3875</v>
      </c>
      <c r="AH31" s="186">
        <f>15500*(1+InflacionAnual)^(YEAR(AH$3)-AnioBase)*IF((AH$9+AH$14)&lt;=40,Tramo1,IF((AH$9+AH$14)&lt;=80,Tramo2,Tramo3))</f>
        <v>16926.3875</v>
      </c>
      <c r="AI31" s="186">
        <f>15500*(1+InflacionAnual)^(YEAR(AI$3)-AnioBase)*IF((AI$9+AI$14)&lt;=40,Tramo1,IF((AI$9+AI$14)&lt;=80,Tramo2,Tramo3))</f>
        <v>16926.3875</v>
      </c>
      <c r="AJ31" s="186">
        <f>15500*(1+InflacionAnual)^(YEAR(AJ$3)-AnioBase)*IF((AJ$9+AJ$14)&lt;=40,Tramo1,IF((AJ$9+AJ$14)&lt;=80,Tramo2,Tramo3))</f>
        <v>16926.3875</v>
      </c>
      <c r="AK31" s="186">
        <f>15500*(1+InflacionAnual)^(YEAR(AK$3)-AnioBase)*IF((AK$9+AK$14)&lt;=40,Tramo1,IF((AK$9+AK$14)&lt;=80,Tramo2,Tramo3))</f>
        <v>16926.3875</v>
      </c>
      <c r="AL31" s="186">
        <f>15500*(1+InflacionAnual)^(YEAR(AL$3)-AnioBase)*IF((AL$9+AL$14)&lt;=40,Tramo1,IF((AL$9+AL$14)&lt;=80,Tramo2,Tramo3))</f>
        <v>16926.3875</v>
      </c>
      <c r="AM31" s="186">
        <f>15500*(1+InflacionAnual)^(YEAR(AM$3)-AnioBase)*IF((AM$9+AM$14)&lt;=40,Tramo1,IF((AM$9+AM$14)&lt;=80,Tramo2,Tramo3))</f>
        <v>16926.3875</v>
      </c>
      <c r="AN31" s="186">
        <f>15500*(1+InflacionAnual)^(YEAR(AN$3)-AnioBase)*IF((AN$9+AN$14)&lt;=40,Tramo1,IF((AN$9+AN$14)&lt;=80,Tramo2,Tramo3))</f>
        <v>17688.07494</v>
      </c>
      <c r="AO31" s="186">
        <f>15500*(1+InflacionAnual)^(YEAR(AO$3)-AnioBase)*IF((AO$9+AO$14)&lt;=40,Tramo1,IF((AO$9+AO$14)&lt;=80,Tramo2,Tramo3))</f>
        <v>17688.07494</v>
      </c>
      <c r="AP31" s="186">
        <f>15500*(1+InflacionAnual)^(YEAR(AP$3)-AnioBase)*IF((AP$9+AP$14)&lt;=40,Tramo1,IF((AP$9+AP$14)&lt;=80,Tramo2,Tramo3))</f>
        <v>17688.07494</v>
      </c>
      <c r="AQ31" s="186">
        <f>15500*(1+InflacionAnual)^(YEAR(AQ$3)-AnioBase)*IF((AQ$9+AQ$14)&lt;=40,Tramo1,IF((AQ$9+AQ$14)&lt;=80,Tramo2,Tramo3))</f>
        <v>17688.07494</v>
      </c>
      <c r="AR31" s="186">
        <f>15500*(1+InflacionAnual)^(YEAR(AR$3)-AnioBase)*IF((AR$9+AR$14)&lt;=40,Tramo1,IF((AR$9+AR$14)&lt;=80,Tramo2,Tramo3))</f>
        <v>17688.07494</v>
      </c>
      <c r="AS31" s="186">
        <f>15500*(1+InflacionAnual)^(YEAR(AS$3)-AnioBase)*IF((AS$9+AS$14)&lt;=40,Tramo1,IF((AS$9+AS$14)&lt;=80,Tramo2,Tramo3))</f>
        <v>17688.07494</v>
      </c>
      <c r="AT31" s="186">
        <f>15500*(1+InflacionAnual)^(YEAR(AT$3)-AnioBase)*IF((AT$9+AT$14)&lt;=40,Tramo1,IF((AT$9+AT$14)&lt;=80,Tramo2,Tramo3))</f>
        <v>17688.07494</v>
      </c>
      <c r="AU31" s="186">
        <f>15500*(1+InflacionAnual)^(YEAR(AU$3)-AnioBase)*IF((AU$9+AU$14)&lt;=40,Tramo1,IF((AU$9+AU$14)&lt;=80,Tramo2,Tramo3))</f>
        <v>17688.07494</v>
      </c>
      <c r="AV31" s="186">
        <f>15500*(1+InflacionAnual)^(YEAR(AV$3)-AnioBase)*IF((AV$9+AV$14)&lt;=40,Tramo1,IF((AV$9+AV$14)&lt;=80,Tramo2,Tramo3))</f>
        <v>17688.07494</v>
      </c>
      <c r="AW31" s="186">
        <f>15500*(1+InflacionAnual)^(YEAR(AW$3)-AnioBase)*IF((AW$9+AW$14)&lt;=40,Tramo1,IF((AW$9+AW$14)&lt;=80,Tramo2,Tramo3))</f>
        <v>17688.07494</v>
      </c>
      <c r="AX31" s="186">
        <f>15500*(1+InflacionAnual)^(YEAR(AX$3)-AnioBase)*IF((AX$9+AX$14)&lt;=40,Tramo1,IF((AX$9+AX$14)&lt;=80,Tramo2,Tramo3))</f>
        <v>17688.07494</v>
      </c>
      <c r="AY31" s="186">
        <f>15500*(1+InflacionAnual)^(YEAR(AY$3)-AnioBase)*IF((AY$9+AY$14)&lt;=40,Tramo1,IF((AY$9+AY$14)&lt;=80,Tramo2,Tramo3))</f>
        <v>17688.07494</v>
      </c>
      <c r="AZ31" s="186">
        <f>15500*(1+InflacionAnual)^(YEAR(AZ$3)-AnioBase)*IF((AZ$9+AZ$14)&lt;=40,Tramo1,IF((AZ$9+AZ$14)&lt;=80,Tramo2,Tramo3))</f>
        <v>18484.03831</v>
      </c>
      <c r="BA31" s="186">
        <f>15500*(1+InflacionAnual)^(YEAR(BA$3)-AnioBase)*IF((BA$9+BA$14)&lt;=40,Tramo1,IF((BA$9+BA$14)&lt;=80,Tramo2,Tramo3))</f>
        <v>18484.03831</v>
      </c>
      <c r="BB31" s="186">
        <f>15500*(1+InflacionAnual)^(YEAR(BB$3)-AnioBase)*IF((BB$9+BB$14)&lt;=40,Tramo1,IF((BB$9+BB$14)&lt;=80,Tramo2,Tramo3))</f>
        <v>18484.03831</v>
      </c>
      <c r="BC31" s="186">
        <f>15500*(1+InflacionAnual)^(YEAR(BC$3)-AnioBase)*IF((BC$9+BC$14)&lt;=40,Tramo1,IF((BC$9+BC$14)&lt;=80,Tramo2,Tramo3))</f>
        <v>18484.03831</v>
      </c>
      <c r="BD31" s="186">
        <f>15500*(1+InflacionAnual)^(YEAR(BD$3)-AnioBase)*IF((BD$9+BD$14)&lt;=40,Tramo1,IF((BD$9+BD$14)&lt;=80,Tramo2,Tramo3))</f>
        <v>18484.03831</v>
      </c>
      <c r="BE31" s="186">
        <f>15500*(1+InflacionAnual)^(YEAR(BE$3)-AnioBase)*IF((BE$9+BE$14)&lt;=40,Tramo1,IF((BE$9+BE$14)&lt;=80,Tramo2,Tramo3))</f>
        <v>18484.03831</v>
      </c>
      <c r="BF31" s="186">
        <f>15500*(1+InflacionAnual)^(YEAR(BF$3)-AnioBase)*IF((BF$9+BF$14)&lt;=40,Tramo1,IF((BF$9+BF$14)&lt;=80,Tramo2,Tramo3))</f>
        <v>18484.03831</v>
      </c>
      <c r="BG31" s="186">
        <f>15500*(1+InflacionAnual)^(YEAR(BG$3)-AnioBase)*IF((BG$9+BG$14)&lt;=40,Tramo1,IF((BG$9+BG$14)&lt;=80,Tramo2,Tramo3))</f>
        <v>18484.03831</v>
      </c>
      <c r="BH31" s="186">
        <f>15500*(1+InflacionAnual)^(YEAR(BH$3)-AnioBase)*IF((BH$9+BH$14)&lt;=40,Tramo1,IF((BH$9+BH$14)&lt;=80,Tramo2,Tramo3))</f>
        <v>18484.03831</v>
      </c>
      <c r="BI31" s="186">
        <f>15500*(1+InflacionAnual)^(YEAR(BI$3)-AnioBase)*IF((BI$9+BI$14)&lt;=40,Tramo1,IF((BI$9+BI$14)&lt;=80,Tramo2,Tramo3))</f>
        <v>18484.03831</v>
      </c>
      <c r="BJ31" s="186">
        <f>15500*(1+InflacionAnual)^(YEAR(BJ$3)-AnioBase)*IF((BJ$9+BJ$14)&lt;=40,Tramo1,IF((BJ$9+BJ$14)&lt;=80,Tramo2,Tramo3))</f>
        <v>18484.03831</v>
      </c>
      <c r="BK31" s="186">
        <f>15500*(1+InflacionAnual)^(YEAR(BK$3)-AnioBase)*IF((BK$9+BK$14)&lt;=40,Tramo1,IF((BK$9+BK$14)&lt;=80,Tramo2,Tramo3))</f>
        <v>18484.03831</v>
      </c>
      <c r="BL31" s="186">
        <f t="shared" si="23"/>
        <v>1017552.009</v>
      </c>
      <c r="BM31" s="186">
        <f t="shared" si="24"/>
        <v>16959.20015</v>
      </c>
    </row>
    <row r="32" ht="22.5" customHeight="1" outlineLevel="2">
      <c r="A32" s="69"/>
      <c r="B32" s="116"/>
      <c r="C32" s="185" t="s">
        <v>589</v>
      </c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</row>
    <row r="33" ht="22.5" customHeight="1" outlineLevel="2">
      <c r="A33" s="69"/>
      <c r="B33" s="116"/>
      <c r="C33" s="185" t="s">
        <v>590</v>
      </c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</row>
    <row r="34" ht="22.5" customHeight="1" outlineLevel="1">
      <c r="A34" s="69"/>
      <c r="B34" s="70" t="s">
        <v>591</v>
      </c>
      <c r="C34" s="71"/>
      <c r="D34" s="72">
        <f t="shared" ref="D34:BK34" si="25">(SUM(D36)) * D$5</f>
        <v>34500</v>
      </c>
      <c r="E34" s="72">
        <f t="shared" si="25"/>
        <v>34500</v>
      </c>
      <c r="F34" s="72">
        <f t="shared" si="25"/>
        <v>34500</v>
      </c>
      <c r="G34" s="72">
        <f t="shared" si="25"/>
        <v>34500</v>
      </c>
      <c r="H34" s="72">
        <f t="shared" si="25"/>
        <v>34500</v>
      </c>
      <c r="I34" s="72">
        <f t="shared" si="25"/>
        <v>34500</v>
      </c>
      <c r="J34" s="72">
        <f t="shared" si="25"/>
        <v>34500</v>
      </c>
      <c r="K34" s="72">
        <f t="shared" si="25"/>
        <v>34500</v>
      </c>
      <c r="L34" s="72">
        <f t="shared" si="25"/>
        <v>34500</v>
      </c>
      <c r="M34" s="72">
        <f t="shared" si="25"/>
        <v>34500</v>
      </c>
      <c r="N34" s="72">
        <f t="shared" si="25"/>
        <v>34500</v>
      </c>
      <c r="O34" s="72">
        <f t="shared" si="25"/>
        <v>34500</v>
      </c>
      <c r="P34" s="72">
        <f t="shared" si="25"/>
        <v>36052.5</v>
      </c>
      <c r="Q34" s="72">
        <f t="shared" si="25"/>
        <v>36052.5</v>
      </c>
      <c r="R34" s="72">
        <f t="shared" si="25"/>
        <v>36052.5</v>
      </c>
      <c r="S34" s="72">
        <f t="shared" si="25"/>
        <v>36052.5</v>
      </c>
      <c r="T34" s="72">
        <f t="shared" si="25"/>
        <v>36052.5</v>
      </c>
      <c r="U34" s="72">
        <f t="shared" si="25"/>
        <v>36052.5</v>
      </c>
      <c r="V34" s="72">
        <f t="shared" si="25"/>
        <v>36052.5</v>
      </c>
      <c r="W34" s="72">
        <f t="shared" si="25"/>
        <v>36052.5</v>
      </c>
      <c r="X34" s="72">
        <f t="shared" si="25"/>
        <v>36052.5</v>
      </c>
      <c r="Y34" s="72">
        <f t="shared" si="25"/>
        <v>36052.5</v>
      </c>
      <c r="Z34" s="72">
        <f t="shared" si="25"/>
        <v>36052.5</v>
      </c>
      <c r="AA34" s="72">
        <f t="shared" si="25"/>
        <v>36052.5</v>
      </c>
      <c r="AB34" s="72">
        <f t="shared" si="25"/>
        <v>37674.8625</v>
      </c>
      <c r="AC34" s="72">
        <f t="shared" si="25"/>
        <v>37674.8625</v>
      </c>
      <c r="AD34" s="72">
        <f t="shared" si="25"/>
        <v>37674.8625</v>
      </c>
      <c r="AE34" s="72">
        <f t="shared" si="25"/>
        <v>37674.8625</v>
      </c>
      <c r="AF34" s="72">
        <f t="shared" si="25"/>
        <v>37674.8625</v>
      </c>
      <c r="AG34" s="72">
        <f t="shared" si="25"/>
        <v>37674.8625</v>
      </c>
      <c r="AH34" s="72">
        <f t="shared" si="25"/>
        <v>37674.8625</v>
      </c>
      <c r="AI34" s="72">
        <f t="shared" si="25"/>
        <v>37674.8625</v>
      </c>
      <c r="AJ34" s="72">
        <f t="shared" si="25"/>
        <v>37674.8625</v>
      </c>
      <c r="AK34" s="72">
        <f t="shared" si="25"/>
        <v>37674.8625</v>
      </c>
      <c r="AL34" s="72">
        <f t="shared" si="25"/>
        <v>37674.8625</v>
      </c>
      <c r="AM34" s="72">
        <f t="shared" si="25"/>
        <v>37674.8625</v>
      </c>
      <c r="AN34" s="72">
        <f t="shared" si="25"/>
        <v>39370.23131</v>
      </c>
      <c r="AO34" s="72">
        <f t="shared" si="25"/>
        <v>39370.23131</v>
      </c>
      <c r="AP34" s="72">
        <f t="shared" si="25"/>
        <v>39370.23131</v>
      </c>
      <c r="AQ34" s="72">
        <f t="shared" si="25"/>
        <v>39370.23131</v>
      </c>
      <c r="AR34" s="72">
        <f t="shared" si="25"/>
        <v>39370.23131</v>
      </c>
      <c r="AS34" s="72">
        <f t="shared" si="25"/>
        <v>39370.23131</v>
      </c>
      <c r="AT34" s="72">
        <f t="shared" si="25"/>
        <v>39370.23131</v>
      </c>
      <c r="AU34" s="72">
        <f t="shared" si="25"/>
        <v>39370.23131</v>
      </c>
      <c r="AV34" s="72">
        <f t="shared" si="25"/>
        <v>39370.23131</v>
      </c>
      <c r="AW34" s="72">
        <f t="shared" si="25"/>
        <v>39370.23131</v>
      </c>
      <c r="AX34" s="72">
        <f t="shared" si="25"/>
        <v>39370.23131</v>
      </c>
      <c r="AY34" s="72">
        <f t="shared" si="25"/>
        <v>39370.23131</v>
      </c>
      <c r="AZ34" s="72">
        <f t="shared" si="25"/>
        <v>41141.89172</v>
      </c>
      <c r="BA34" s="72">
        <f t="shared" si="25"/>
        <v>41141.89172</v>
      </c>
      <c r="BB34" s="72">
        <f t="shared" si="25"/>
        <v>41141.89172</v>
      </c>
      <c r="BC34" s="72">
        <f t="shared" si="25"/>
        <v>41141.89172</v>
      </c>
      <c r="BD34" s="72">
        <f t="shared" si="25"/>
        <v>41141.89172</v>
      </c>
      <c r="BE34" s="72">
        <f t="shared" si="25"/>
        <v>41141.89172</v>
      </c>
      <c r="BF34" s="72">
        <f t="shared" si="25"/>
        <v>41141.89172</v>
      </c>
      <c r="BG34" s="72">
        <f t="shared" si="25"/>
        <v>41141.89172</v>
      </c>
      <c r="BH34" s="72">
        <f t="shared" si="25"/>
        <v>41141.89172</v>
      </c>
      <c r="BI34" s="72">
        <f t="shared" si="25"/>
        <v>41141.89172</v>
      </c>
      <c r="BJ34" s="72">
        <f t="shared" si="25"/>
        <v>41141.89172</v>
      </c>
      <c r="BK34" s="72">
        <f t="shared" si="25"/>
        <v>41141.89172</v>
      </c>
      <c r="BL34" s="72">
        <f>SUM(D34:BK34)</f>
        <v>2264873.826</v>
      </c>
      <c r="BM34" s="72">
        <f>AVERAGE(D34:BK34)</f>
        <v>37747.89711</v>
      </c>
    </row>
    <row r="35" ht="22.5" customHeight="1" outlineLevel="2">
      <c r="A35" s="199"/>
      <c r="B35" s="200" t="s">
        <v>552</v>
      </c>
      <c r="C35" s="201"/>
      <c r="D35" s="181">
        <f t="shared" ref="D35:BK35" si="26">IFERROR(D34/D$19,"")</f>
        <v>0.1021244036</v>
      </c>
      <c r="E35" s="181">
        <f t="shared" si="26"/>
        <v>0.09884777479</v>
      </c>
      <c r="F35" s="181">
        <f t="shared" si="26"/>
        <v>0.0976253064</v>
      </c>
      <c r="G35" s="181">
        <f t="shared" si="26"/>
        <v>0.1015742434</v>
      </c>
      <c r="H35" s="181">
        <f t="shared" si="26"/>
        <v>0.09993543417</v>
      </c>
      <c r="I35" s="181">
        <f t="shared" si="26"/>
        <v>0.1001976738</v>
      </c>
      <c r="J35" s="181">
        <f t="shared" si="26"/>
        <v>0.0964623055</v>
      </c>
      <c r="K35" s="181">
        <f t="shared" si="26"/>
        <v>0.09700646316</v>
      </c>
      <c r="L35" s="181">
        <f t="shared" si="26"/>
        <v>0.1087572571</v>
      </c>
      <c r="M35" s="181">
        <f t="shared" si="26"/>
        <v>0.1120613734</v>
      </c>
      <c r="N35" s="181">
        <f t="shared" si="26"/>
        <v>0.09719864409</v>
      </c>
      <c r="O35" s="181">
        <f t="shared" si="26"/>
        <v>0.1040932028</v>
      </c>
      <c r="P35" s="181">
        <f t="shared" si="26"/>
        <v>0.1102665425</v>
      </c>
      <c r="Q35" s="181">
        <f t="shared" si="26"/>
        <v>0.1066886844</v>
      </c>
      <c r="R35" s="181">
        <f t="shared" si="26"/>
        <v>0.1053518119</v>
      </c>
      <c r="S35" s="181">
        <f t="shared" si="26"/>
        <v>0.1096499027</v>
      </c>
      <c r="T35" s="181">
        <f t="shared" si="26"/>
        <v>0.1078582894</v>
      </c>
      <c r="U35" s="181">
        <f t="shared" si="26"/>
        <v>0.1081385684</v>
      </c>
      <c r="V35" s="181">
        <f t="shared" si="26"/>
        <v>0.1040648521</v>
      </c>
      <c r="W35" s="181">
        <f t="shared" si="26"/>
        <v>0.1046522545</v>
      </c>
      <c r="X35" s="181">
        <f t="shared" si="26"/>
        <v>0.11745425</v>
      </c>
      <c r="Y35" s="181">
        <f t="shared" si="26"/>
        <v>0.1210539856</v>
      </c>
      <c r="Z35" s="181">
        <f t="shared" si="26"/>
        <v>0.1048464857</v>
      </c>
      <c r="AA35" s="181">
        <f t="shared" si="26"/>
        <v>0.1123505675</v>
      </c>
      <c r="AB35" s="181">
        <f t="shared" si="26"/>
        <v>0.1190233013</v>
      </c>
      <c r="AC35" s="181">
        <f t="shared" si="26"/>
        <v>0.1151190046</v>
      </c>
      <c r="AD35" s="181">
        <f t="shared" si="26"/>
        <v>0.1136580652</v>
      </c>
      <c r="AE35" s="181">
        <f t="shared" si="26"/>
        <v>0.1183337582</v>
      </c>
      <c r="AF35" s="181">
        <f t="shared" si="26"/>
        <v>0.1163764499</v>
      </c>
      <c r="AG35" s="181">
        <f t="shared" si="26"/>
        <v>0.1166759555</v>
      </c>
      <c r="AH35" s="181">
        <f t="shared" si="26"/>
        <v>0.112235927</v>
      </c>
      <c r="AI35" s="181">
        <f t="shared" si="26"/>
        <v>0.1128698294</v>
      </c>
      <c r="AJ35" s="181">
        <f t="shared" si="26"/>
        <v>0.1268093876</v>
      </c>
      <c r="AK35" s="181">
        <f t="shared" si="26"/>
        <v>0.1307291181</v>
      </c>
      <c r="AL35" s="181">
        <f t="shared" si="26"/>
        <v>0.1130654852</v>
      </c>
      <c r="AM35" s="181">
        <f t="shared" si="26"/>
        <v>0.1212286709</v>
      </c>
      <c r="AN35" s="181">
        <f t="shared" si="26"/>
        <v>0.1284389357</v>
      </c>
      <c r="AO35" s="181">
        <f t="shared" si="26"/>
        <v>0.1208516319</v>
      </c>
      <c r="AP35" s="181">
        <f t="shared" si="26"/>
        <v>0.1226064383</v>
      </c>
      <c r="AQ35" s="181">
        <f t="shared" si="26"/>
        <v>0.1276911847</v>
      </c>
      <c r="AR35" s="181">
        <f t="shared" si="26"/>
        <v>0.1255539398</v>
      </c>
      <c r="AS35" s="181">
        <f t="shared" si="26"/>
        <v>0.1258739914</v>
      </c>
      <c r="AT35" s="181">
        <f t="shared" si="26"/>
        <v>0.1210367485</v>
      </c>
      <c r="AU35" s="181">
        <f t="shared" si="26"/>
        <v>0.1217207561</v>
      </c>
      <c r="AV35" s="181">
        <f t="shared" si="26"/>
        <v>0.1368933391</v>
      </c>
      <c r="AW35" s="181">
        <f t="shared" si="26"/>
        <v>0.1411600152</v>
      </c>
      <c r="AX35" s="181">
        <f t="shared" si="26"/>
        <v>0.1219171663</v>
      </c>
      <c r="AY35" s="181">
        <f t="shared" si="26"/>
        <v>0.1307942647</v>
      </c>
      <c r="AZ35" s="181">
        <f t="shared" si="26"/>
        <v>0.1385842832</v>
      </c>
      <c r="BA35" s="181">
        <f t="shared" si="26"/>
        <v>0.1339428547</v>
      </c>
      <c r="BB35" s="181">
        <f t="shared" si="26"/>
        <v>0.1322014829</v>
      </c>
      <c r="BC35" s="181">
        <f t="shared" si="26"/>
        <v>0.1377273764</v>
      </c>
      <c r="BD35" s="181">
        <f t="shared" si="26"/>
        <v>0.1353955864</v>
      </c>
      <c r="BE35" s="181">
        <f t="shared" si="26"/>
        <v>0.1357374818</v>
      </c>
      <c r="BF35" s="181">
        <f t="shared" si="26"/>
        <v>0.130471422</v>
      </c>
      <c r="BG35" s="181">
        <f t="shared" si="26"/>
        <v>0.1312091674</v>
      </c>
      <c r="BH35" s="181">
        <f t="shared" si="26"/>
        <v>0.1477123111</v>
      </c>
      <c r="BI35" s="181">
        <f t="shared" si="26"/>
        <v>0.1523534835</v>
      </c>
      <c r="BJ35" s="181">
        <f t="shared" si="26"/>
        <v>0.1314055112</v>
      </c>
      <c r="BK35" s="181">
        <f t="shared" si="26"/>
        <v>0.1410524381</v>
      </c>
      <c r="BL35" s="181">
        <f>AVERAGE(D35:BK35)</f>
        <v>0.1186119507</v>
      </c>
    </row>
    <row r="36" ht="22.5" customHeight="1" outlineLevel="2">
      <c r="A36" s="69"/>
      <c r="B36" s="184"/>
      <c r="C36" s="185" t="s">
        <v>592</v>
      </c>
      <c r="D36" s="186">
        <f>34500*(1+InflacionAnual)^(YEAR(D$3)-AnioBase)*IF((D$9+D$14)&lt;=40,Tramo1,IF((D$9+D$14)&lt;=80,Tramo2,Tramo3))</f>
        <v>34500</v>
      </c>
      <c r="E36" s="186">
        <f>34500*(1+InflacionAnual)^(YEAR(E$3)-AnioBase)*IF((E$9+E$14)&lt;=40,Tramo1,IF((E$9+E$14)&lt;=80,Tramo2,Tramo3))</f>
        <v>34500</v>
      </c>
      <c r="F36" s="186">
        <f>34500*(1+InflacionAnual)^(YEAR(F$3)-AnioBase)*IF((F$9+F$14)&lt;=40,Tramo1,IF((F$9+F$14)&lt;=80,Tramo2,Tramo3))</f>
        <v>34500</v>
      </c>
      <c r="G36" s="186">
        <f>34500*(1+InflacionAnual)^(YEAR(G$3)-AnioBase)*IF((G$9+G$14)&lt;=40,Tramo1,IF((G$9+G$14)&lt;=80,Tramo2,Tramo3))</f>
        <v>34500</v>
      </c>
      <c r="H36" s="186">
        <f>34500*(1+InflacionAnual)^(YEAR(H$3)-AnioBase)*IF((H$9+H$14)&lt;=40,Tramo1,IF((H$9+H$14)&lt;=80,Tramo2,Tramo3))</f>
        <v>34500</v>
      </c>
      <c r="I36" s="186">
        <f>34500*(1+InflacionAnual)^(YEAR(I$3)-AnioBase)*IF((I$9+I$14)&lt;=40,Tramo1,IF((I$9+I$14)&lt;=80,Tramo2,Tramo3))</f>
        <v>34500</v>
      </c>
      <c r="J36" s="186">
        <f>34500*(1+InflacionAnual)^(YEAR(J$3)-AnioBase)*IF((J$9+J$14)&lt;=40,Tramo1,IF((J$9+J$14)&lt;=80,Tramo2,Tramo3))</f>
        <v>34500</v>
      </c>
      <c r="K36" s="186">
        <f>34500*(1+InflacionAnual)^(YEAR(K$3)-AnioBase)*IF((K$9+K$14)&lt;=40,Tramo1,IF((K$9+K$14)&lt;=80,Tramo2,Tramo3))</f>
        <v>34500</v>
      </c>
      <c r="L36" s="186">
        <f>34500*(1+InflacionAnual)^(YEAR(L$3)-AnioBase)*IF((L$9+L$14)&lt;=40,Tramo1,IF((L$9+L$14)&lt;=80,Tramo2,Tramo3))</f>
        <v>34500</v>
      </c>
      <c r="M36" s="186">
        <f>34500*(1+InflacionAnual)^(YEAR(M$3)-AnioBase)*IF((M$9+M$14)&lt;=40,Tramo1,IF((M$9+M$14)&lt;=80,Tramo2,Tramo3))</f>
        <v>34500</v>
      </c>
      <c r="N36" s="186">
        <f>34500*(1+InflacionAnual)^(YEAR(N$3)-AnioBase)*IF((N$9+N$14)&lt;=40,Tramo1,IF((N$9+N$14)&lt;=80,Tramo2,Tramo3))</f>
        <v>34500</v>
      </c>
      <c r="O36" s="186">
        <f>34500*(1+InflacionAnual)^(YEAR(O$3)-AnioBase)*IF((O$9+O$14)&lt;=40,Tramo1,IF((O$9+O$14)&lt;=80,Tramo2,Tramo3))</f>
        <v>34500</v>
      </c>
      <c r="P36" s="186">
        <f>34500*(1+InflacionAnual)^(YEAR(P$3)-AnioBase)*IF((P$9+P$14)&lt;=40,Tramo1,IF((P$9+P$14)&lt;=80,Tramo2,Tramo3))</f>
        <v>36052.5</v>
      </c>
      <c r="Q36" s="186">
        <f>34500*(1+InflacionAnual)^(YEAR(Q$3)-AnioBase)*IF((Q$9+Q$14)&lt;=40,Tramo1,IF((Q$9+Q$14)&lt;=80,Tramo2,Tramo3))</f>
        <v>36052.5</v>
      </c>
      <c r="R36" s="186">
        <f>34500*(1+InflacionAnual)^(YEAR(R$3)-AnioBase)*IF((R$9+R$14)&lt;=40,Tramo1,IF((R$9+R$14)&lt;=80,Tramo2,Tramo3))</f>
        <v>36052.5</v>
      </c>
      <c r="S36" s="186">
        <f>34500*(1+InflacionAnual)^(YEAR(S$3)-AnioBase)*IF((S$9+S$14)&lt;=40,Tramo1,IF((S$9+S$14)&lt;=80,Tramo2,Tramo3))</f>
        <v>36052.5</v>
      </c>
      <c r="T36" s="186">
        <f>34500*(1+InflacionAnual)^(YEAR(T$3)-AnioBase)*IF((T$9+T$14)&lt;=40,Tramo1,IF((T$9+T$14)&lt;=80,Tramo2,Tramo3))</f>
        <v>36052.5</v>
      </c>
      <c r="U36" s="186">
        <f>34500*(1+InflacionAnual)^(YEAR(U$3)-AnioBase)*IF((U$9+U$14)&lt;=40,Tramo1,IF((U$9+U$14)&lt;=80,Tramo2,Tramo3))</f>
        <v>36052.5</v>
      </c>
      <c r="V36" s="186">
        <f>34500*(1+InflacionAnual)^(YEAR(V$3)-AnioBase)*IF((V$9+V$14)&lt;=40,Tramo1,IF((V$9+V$14)&lt;=80,Tramo2,Tramo3))</f>
        <v>36052.5</v>
      </c>
      <c r="W36" s="186">
        <f>34500*(1+InflacionAnual)^(YEAR(W$3)-AnioBase)*IF((W$9+W$14)&lt;=40,Tramo1,IF((W$9+W$14)&lt;=80,Tramo2,Tramo3))</f>
        <v>36052.5</v>
      </c>
      <c r="X36" s="186">
        <f>34500*(1+InflacionAnual)^(YEAR(X$3)-AnioBase)*IF((X$9+X$14)&lt;=40,Tramo1,IF((X$9+X$14)&lt;=80,Tramo2,Tramo3))</f>
        <v>36052.5</v>
      </c>
      <c r="Y36" s="186">
        <f>34500*(1+InflacionAnual)^(YEAR(Y$3)-AnioBase)*IF((Y$9+Y$14)&lt;=40,Tramo1,IF((Y$9+Y$14)&lt;=80,Tramo2,Tramo3))</f>
        <v>36052.5</v>
      </c>
      <c r="Z36" s="186">
        <f>34500*(1+InflacionAnual)^(YEAR(Z$3)-AnioBase)*IF((Z$9+Z$14)&lt;=40,Tramo1,IF((Z$9+Z$14)&lt;=80,Tramo2,Tramo3))</f>
        <v>36052.5</v>
      </c>
      <c r="AA36" s="186">
        <f>34500*(1+InflacionAnual)^(YEAR(AA$3)-AnioBase)*IF((AA$9+AA$14)&lt;=40,Tramo1,IF((AA$9+AA$14)&lt;=80,Tramo2,Tramo3))</f>
        <v>36052.5</v>
      </c>
      <c r="AB36" s="186">
        <f>34500*(1+InflacionAnual)^(YEAR(AB$3)-AnioBase)*IF((AB$9+AB$14)&lt;=40,Tramo1,IF((AB$9+AB$14)&lt;=80,Tramo2,Tramo3))</f>
        <v>37674.8625</v>
      </c>
      <c r="AC36" s="186">
        <f>34500*(1+InflacionAnual)^(YEAR(AC$3)-AnioBase)*IF((AC$9+AC$14)&lt;=40,Tramo1,IF((AC$9+AC$14)&lt;=80,Tramo2,Tramo3))</f>
        <v>37674.8625</v>
      </c>
      <c r="AD36" s="186">
        <f>34500*(1+InflacionAnual)^(YEAR(AD$3)-AnioBase)*IF((AD$9+AD$14)&lt;=40,Tramo1,IF((AD$9+AD$14)&lt;=80,Tramo2,Tramo3))</f>
        <v>37674.8625</v>
      </c>
      <c r="AE36" s="186">
        <f>34500*(1+InflacionAnual)^(YEAR(AE$3)-AnioBase)*IF((AE$9+AE$14)&lt;=40,Tramo1,IF((AE$9+AE$14)&lt;=80,Tramo2,Tramo3))</f>
        <v>37674.8625</v>
      </c>
      <c r="AF36" s="186">
        <f>34500*(1+InflacionAnual)^(YEAR(AF$3)-AnioBase)*IF((AF$9+AF$14)&lt;=40,Tramo1,IF((AF$9+AF$14)&lt;=80,Tramo2,Tramo3))</f>
        <v>37674.8625</v>
      </c>
      <c r="AG36" s="186">
        <f>34500*(1+InflacionAnual)^(YEAR(AG$3)-AnioBase)*IF((AG$9+AG$14)&lt;=40,Tramo1,IF((AG$9+AG$14)&lt;=80,Tramo2,Tramo3))</f>
        <v>37674.8625</v>
      </c>
      <c r="AH36" s="186">
        <f>34500*(1+InflacionAnual)^(YEAR(AH$3)-AnioBase)*IF((AH$9+AH$14)&lt;=40,Tramo1,IF((AH$9+AH$14)&lt;=80,Tramo2,Tramo3))</f>
        <v>37674.8625</v>
      </c>
      <c r="AI36" s="186">
        <f>34500*(1+InflacionAnual)^(YEAR(AI$3)-AnioBase)*IF((AI$9+AI$14)&lt;=40,Tramo1,IF((AI$9+AI$14)&lt;=80,Tramo2,Tramo3))</f>
        <v>37674.8625</v>
      </c>
      <c r="AJ36" s="186">
        <f>34500*(1+InflacionAnual)^(YEAR(AJ$3)-AnioBase)*IF((AJ$9+AJ$14)&lt;=40,Tramo1,IF((AJ$9+AJ$14)&lt;=80,Tramo2,Tramo3))</f>
        <v>37674.8625</v>
      </c>
      <c r="AK36" s="186">
        <f>34500*(1+InflacionAnual)^(YEAR(AK$3)-AnioBase)*IF((AK$9+AK$14)&lt;=40,Tramo1,IF((AK$9+AK$14)&lt;=80,Tramo2,Tramo3))</f>
        <v>37674.8625</v>
      </c>
      <c r="AL36" s="186">
        <f>34500*(1+InflacionAnual)^(YEAR(AL$3)-AnioBase)*IF((AL$9+AL$14)&lt;=40,Tramo1,IF((AL$9+AL$14)&lt;=80,Tramo2,Tramo3))</f>
        <v>37674.8625</v>
      </c>
      <c r="AM36" s="186">
        <f>34500*(1+InflacionAnual)^(YEAR(AM$3)-AnioBase)*IF((AM$9+AM$14)&lt;=40,Tramo1,IF((AM$9+AM$14)&lt;=80,Tramo2,Tramo3))</f>
        <v>37674.8625</v>
      </c>
      <c r="AN36" s="186">
        <f>34500*(1+InflacionAnual)^(YEAR(AN$3)-AnioBase)*IF((AN$9+AN$14)&lt;=40,Tramo1,IF((AN$9+AN$14)&lt;=80,Tramo2,Tramo3))</f>
        <v>39370.23131</v>
      </c>
      <c r="AO36" s="186">
        <f>34500*(1+InflacionAnual)^(YEAR(AO$3)-AnioBase)*IF((AO$9+AO$14)&lt;=40,Tramo1,IF((AO$9+AO$14)&lt;=80,Tramo2,Tramo3))</f>
        <v>39370.23131</v>
      </c>
      <c r="AP36" s="186">
        <f>34500*(1+InflacionAnual)^(YEAR(AP$3)-AnioBase)*IF((AP$9+AP$14)&lt;=40,Tramo1,IF((AP$9+AP$14)&lt;=80,Tramo2,Tramo3))</f>
        <v>39370.23131</v>
      </c>
      <c r="AQ36" s="186">
        <f>34500*(1+InflacionAnual)^(YEAR(AQ$3)-AnioBase)*IF((AQ$9+AQ$14)&lt;=40,Tramo1,IF((AQ$9+AQ$14)&lt;=80,Tramo2,Tramo3))</f>
        <v>39370.23131</v>
      </c>
      <c r="AR36" s="186">
        <f>34500*(1+InflacionAnual)^(YEAR(AR$3)-AnioBase)*IF((AR$9+AR$14)&lt;=40,Tramo1,IF((AR$9+AR$14)&lt;=80,Tramo2,Tramo3))</f>
        <v>39370.23131</v>
      </c>
      <c r="AS36" s="186">
        <f>34500*(1+InflacionAnual)^(YEAR(AS$3)-AnioBase)*IF((AS$9+AS$14)&lt;=40,Tramo1,IF((AS$9+AS$14)&lt;=80,Tramo2,Tramo3))</f>
        <v>39370.23131</v>
      </c>
      <c r="AT36" s="186">
        <f>34500*(1+InflacionAnual)^(YEAR(AT$3)-AnioBase)*IF((AT$9+AT$14)&lt;=40,Tramo1,IF((AT$9+AT$14)&lt;=80,Tramo2,Tramo3))</f>
        <v>39370.23131</v>
      </c>
      <c r="AU36" s="186">
        <f>34500*(1+InflacionAnual)^(YEAR(AU$3)-AnioBase)*IF((AU$9+AU$14)&lt;=40,Tramo1,IF((AU$9+AU$14)&lt;=80,Tramo2,Tramo3))</f>
        <v>39370.23131</v>
      </c>
      <c r="AV36" s="186">
        <f>34500*(1+InflacionAnual)^(YEAR(AV$3)-AnioBase)*IF((AV$9+AV$14)&lt;=40,Tramo1,IF((AV$9+AV$14)&lt;=80,Tramo2,Tramo3))</f>
        <v>39370.23131</v>
      </c>
      <c r="AW36" s="186">
        <f>34500*(1+InflacionAnual)^(YEAR(AW$3)-AnioBase)*IF((AW$9+AW$14)&lt;=40,Tramo1,IF((AW$9+AW$14)&lt;=80,Tramo2,Tramo3))</f>
        <v>39370.23131</v>
      </c>
      <c r="AX36" s="186">
        <f>34500*(1+InflacionAnual)^(YEAR(AX$3)-AnioBase)*IF((AX$9+AX$14)&lt;=40,Tramo1,IF((AX$9+AX$14)&lt;=80,Tramo2,Tramo3))</f>
        <v>39370.23131</v>
      </c>
      <c r="AY36" s="186">
        <f>34500*(1+InflacionAnual)^(YEAR(AY$3)-AnioBase)*IF((AY$9+AY$14)&lt;=40,Tramo1,IF((AY$9+AY$14)&lt;=80,Tramo2,Tramo3))</f>
        <v>39370.23131</v>
      </c>
      <c r="AZ36" s="186">
        <f>34500*(1+InflacionAnual)^(YEAR(AZ$3)-AnioBase)*IF((AZ$9+AZ$14)&lt;=40,Tramo1,IF((AZ$9+AZ$14)&lt;=80,Tramo2,Tramo3))</f>
        <v>41141.89172</v>
      </c>
      <c r="BA36" s="186">
        <f>34500*(1+InflacionAnual)^(YEAR(BA$3)-AnioBase)*IF((BA$9+BA$14)&lt;=40,Tramo1,IF((BA$9+BA$14)&lt;=80,Tramo2,Tramo3))</f>
        <v>41141.89172</v>
      </c>
      <c r="BB36" s="186">
        <f>34500*(1+InflacionAnual)^(YEAR(BB$3)-AnioBase)*IF((BB$9+BB$14)&lt;=40,Tramo1,IF((BB$9+BB$14)&lt;=80,Tramo2,Tramo3))</f>
        <v>41141.89172</v>
      </c>
      <c r="BC36" s="186">
        <f>34500*(1+InflacionAnual)^(YEAR(BC$3)-AnioBase)*IF((BC$9+BC$14)&lt;=40,Tramo1,IF((BC$9+BC$14)&lt;=80,Tramo2,Tramo3))</f>
        <v>41141.89172</v>
      </c>
      <c r="BD36" s="186">
        <f>34500*(1+InflacionAnual)^(YEAR(BD$3)-AnioBase)*IF((BD$9+BD$14)&lt;=40,Tramo1,IF((BD$9+BD$14)&lt;=80,Tramo2,Tramo3))</f>
        <v>41141.89172</v>
      </c>
      <c r="BE36" s="186">
        <f>34500*(1+InflacionAnual)^(YEAR(BE$3)-AnioBase)*IF((BE$9+BE$14)&lt;=40,Tramo1,IF((BE$9+BE$14)&lt;=80,Tramo2,Tramo3))</f>
        <v>41141.89172</v>
      </c>
      <c r="BF36" s="186">
        <f>34500*(1+InflacionAnual)^(YEAR(BF$3)-AnioBase)*IF((BF$9+BF$14)&lt;=40,Tramo1,IF((BF$9+BF$14)&lt;=80,Tramo2,Tramo3))</f>
        <v>41141.89172</v>
      </c>
      <c r="BG36" s="186">
        <f>34500*(1+InflacionAnual)^(YEAR(BG$3)-AnioBase)*IF((BG$9+BG$14)&lt;=40,Tramo1,IF((BG$9+BG$14)&lt;=80,Tramo2,Tramo3))</f>
        <v>41141.89172</v>
      </c>
      <c r="BH36" s="186">
        <f>34500*(1+InflacionAnual)^(YEAR(BH$3)-AnioBase)*IF((BH$9+BH$14)&lt;=40,Tramo1,IF((BH$9+BH$14)&lt;=80,Tramo2,Tramo3))</f>
        <v>41141.89172</v>
      </c>
      <c r="BI36" s="186">
        <f>34500*(1+InflacionAnual)^(YEAR(BI$3)-AnioBase)*IF((BI$9+BI$14)&lt;=40,Tramo1,IF((BI$9+BI$14)&lt;=80,Tramo2,Tramo3))</f>
        <v>41141.89172</v>
      </c>
      <c r="BJ36" s="186">
        <f>34500*(1+InflacionAnual)^(YEAR(BJ$3)-AnioBase)*IF((BJ$9+BJ$14)&lt;=40,Tramo1,IF((BJ$9+BJ$14)&lt;=80,Tramo2,Tramo3))</f>
        <v>41141.89172</v>
      </c>
      <c r="BK36" s="186">
        <f>34500*(1+InflacionAnual)^(YEAR(BK$3)-AnioBase)*IF((BK$9+BK$14)&lt;=40,Tramo1,IF((BK$9+BK$14)&lt;=80,Tramo2,Tramo3))</f>
        <v>41141.89172</v>
      </c>
      <c r="BL36" s="186">
        <f t="shared" ref="BL36:BL37" si="28">SUM(D36:BK36)</f>
        <v>2264873.826</v>
      </c>
      <c r="BM36" s="186">
        <f t="shared" ref="BM36:BM37" si="29">AVERAGE(D36:BK36)</f>
        <v>37747.89711</v>
      </c>
    </row>
    <row r="37" ht="22.5" customHeight="1" outlineLevel="1">
      <c r="A37" s="69"/>
      <c r="B37" s="126" t="s">
        <v>595</v>
      </c>
      <c r="C37" s="127"/>
      <c r="D37" s="128">
        <f t="shared" ref="D37:BK37" si="27">(SUM(D40:D42)) * D$5</f>
        <v>29670</v>
      </c>
      <c r="E37" s="128">
        <f t="shared" si="27"/>
        <v>29670</v>
      </c>
      <c r="F37" s="128">
        <f t="shared" si="27"/>
        <v>29670</v>
      </c>
      <c r="G37" s="128">
        <f t="shared" si="27"/>
        <v>29670</v>
      </c>
      <c r="H37" s="128">
        <f t="shared" si="27"/>
        <v>29670</v>
      </c>
      <c r="I37" s="128">
        <f t="shared" si="27"/>
        <v>29670</v>
      </c>
      <c r="J37" s="128">
        <f t="shared" si="27"/>
        <v>29670</v>
      </c>
      <c r="K37" s="128">
        <f t="shared" si="27"/>
        <v>29670</v>
      </c>
      <c r="L37" s="128">
        <f t="shared" si="27"/>
        <v>29670</v>
      </c>
      <c r="M37" s="128">
        <f t="shared" si="27"/>
        <v>29670</v>
      </c>
      <c r="N37" s="128">
        <f t="shared" si="27"/>
        <v>29670</v>
      </c>
      <c r="O37" s="128">
        <f t="shared" si="27"/>
        <v>29670</v>
      </c>
      <c r="P37" s="128">
        <f t="shared" si="27"/>
        <v>31005.15</v>
      </c>
      <c r="Q37" s="128">
        <f t="shared" si="27"/>
        <v>31005.15</v>
      </c>
      <c r="R37" s="128">
        <f t="shared" si="27"/>
        <v>31005.15</v>
      </c>
      <c r="S37" s="128">
        <f t="shared" si="27"/>
        <v>31005.15</v>
      </c>
      <c r="T37" s="128">
        <f t="shared" si="27"/>
        <v>31005.15</v>
      </c>
      <c r="U37" s="128">
        <f t="shared" si="27"/>
        <v>31005.15</v>
      </c>
      <c r="V37" s="128">
        <f t="shared" si="27"/>
        <v>31005.15</v>
      </c>
      <c r="W37" s="128">
        <f t="shared" si="27"/>
        <v>31005.15</v>
      </c>
      <c r="X37" s="128">
        <f t="shared" si="27"/>
        <v>31005.15</v>
      </c>
      <c r="Y37" s="128">
        <f t="shared" si="27"/>
        <v>31005.15</v>
      </c>
      <c r="Z37" s="128">
        <f t="shared" si="27"/>
        <v>31005.15</v>
      </c>
      <c r="AA37" s="128">
        <f t="shared" si="27"/>
        <v>31005.15</v>
      </c>
      <c r="AB37" s="128">
        <f t="shared" si="27"/>
        <v>32400.38175</v>
      </c>
      <c r="AC37" s="128">
        <f t="shared" si="27"/>
        <v>32400.38175</v>
      </c>
      <c r="AD37" s="128">
        <f t="shared" si="27"/>
        <v>32400.38175</v>
      </c>
      <c r="AE37" s="128">
        <f t="shared" si="27"/>
        <v>32400.38175</v>
      </c>
      <c r="AF37" s="128">
        <f t="shared" si="27"/>
        <v>32400.38175</v>
      </c>
      <c r="AG37" s="128">
        <f t="shared" si="27"/>
        <v>32400.38175</v>
      </c>
      <c r="AH37" s="128">
        <f t="shared" si="27"/>
        <v>32400.38175</v>
      </c>
      <c r="AI37" s="128">
        <f t="shared" si="27"/>
        <v>32400.38175</v>
      </c>
      <c r="AJ37" s="128">
        <f t="shared" si="27"/>
        <v>32400.38175</v>
      </c>
      <c r="AK37" s="128">
        <f t="shared" si="27"/>
        <v>32400.38175</v>
      </c>
      <c r="AL37" s="128">
        <f t="shared" si="27"/>
        <v>32400.38175</v>
      </c>
      <c r="AM37" s="128">
        <f t="shared" si="27"/>
        <v>32400.38175</v>
      </c>
      <c r="AN37" s="128">
        <f t="shared" si="27"/>
        <v>33858.39893</v>
      </c>
      <c r="AO37" s="128">
        <f t="shared" si="27"/>
        <v>33858.39893</v>
      </c>
      <c r="AP37" s="128">
        <f t="shared" si="27"/>
        <v>33858.39893</v>
      </c>
      <c r="AQ37" s="128">
        <f t="shared" si="27"/>
        <v>33858.39893</v>
      </c>
      <c r="AR37" s="128">
        <f t="shared" si="27"/>
        <v>33858.39893</v>
      </c>
      <c r="AS37" s="128">
        <f t="shared" si="27"/>
        <v>33858.39893</v>
      </c>
      <c r="AT37" s="128">
        <f t="shared" si="27"/>
        <v>33858.39893</v>
      </c>
      <c r="AU37" s="128">
        <f t="shared" si="27"/>
        <v>33858.39893</v>
      </c>
      <c r="AV37" s="128">
        <f t="shared" si="27"/>
        <v>33858.39893</v>
      </c>
      <c r="AW37" s="128">
        <f t="shared" si="27"/>
        <v>33858.39893</v>
      </c>
      <c r="AX37" s="128">
        <f t="shared" si="27"/>
        <v>33858.39893</v>
      </c>
      <c r="AY37" s="128">
        <f t="shared" si="27"/>
        <v>33858.39893</v>
      </c>
      <c r="AZ37" s="128">
        <f t="shared" si="27"/>
        <v>35382.02688</v>
      </c>
      <c r="BA37" s="128">
        <f t="shared" si="27"/>
        <v>35382.02688</v>
      </c>
      <c r="BB37" s="128">
        <f t="shared" si="27"/>
        <v>35382.02688</v>
      </c>
      <c r="BC37" s="128">
        <f t="shared" si="27"/>
        <v>35382.02688</v>
      </c>
      <c r="BD37" s="128">
        <f t="shared" si="27"/>
        <v>35382.02688</v>
      </c>
      <c r="BE37" s="128">
        <f t="shared" si="27"/>
        <v>35382.02688</v>
      </c>
      <c r="BF37" s="128">
        <f t="shared" si="27"/>
        <v>35382.02688</v>
      </c>
      <c r="BG37" s="128">
        <f t="shared" si="27"/>
        <v>35382.02688</v>
      </c>
      <c r="BH37" s="128">
        <f t="shared" si="27"/>
        <v>35382.02688</v>
      </c>
      <c r="BI37" s="128">
        <f t="shared" si="27"/>
        <v>35382.02688</v>
      </c>
      <c r="BJ37" s="128">
        <f t="shared" si="27"/>
        <v>35382.02688</v>
      </c>
      <c r="BK37" s="128">
        <f t="shared" si="27"/>
        <v>35382.02688</v>
      </c>
      <c r="BL37" s="128">
        <f t="shared" si="28"/>
        <v>1947791.491</v>
      </c>
      <c r="BM37" s="128">
        <f t="shared" si="29"/>
        <v>32463.19151</v>
      </c>
    </row>
    <row r="38" ht="22.5" customHeight="1" outlineLevel="1">
      <c r="A38" s="69"/>
      <c r="B38" s="126" t="s">
        <v>596</v>
      </c>
      <c r="C38" s="127"/>
      <c r="D38" s="128">
        <f>CACporLlave*(ChurnBruto/12)*TasaReposicion*(D$10+D$15)</f>
        <v>28.91431599</v>
      </c>
      <c r="E38" s="128">
        <f>CACporLlave*(ChurnBruto/12)*TasaReposicion*(E$10+E$15)</f>
        <v>32.85702171</v>
      </c>
      <c r="F38" s="128">
        <f>CACporLlave*(ChurnBruto/12)*TasaReposicion*(F$10+F$15)</f>
        <v>33.10619111</v>
      </c>
      <c r="G38" s="128">
        <f>CACporLlave*(ChurnBruto/12)*TasaReposicion*(G$10+G$15)</f>
        <v>31.87498001</v>
      </c>
      <c r="H38" s="128">
        <f>CACporLlave*(ChurnBruto/12)*TasaReposicion*(H$10+H$15)</f>
        <v>31.75188685</v>
      </c>
      <c r="I38" s="128">
        <f>CACporLlave*(ChurnBruto/12)*TasaReposicion*(I$10+I$15)</f>
        <v>32.42081413</v>
      </c>
      <c r="J38" s="128">
        <f>CACporLlave*(ChurnBruto/12)*TasaReposicion*(J$10+J$15)</f>
        <v>34.19698097</v>
      </c>
      <c r="K38" s="128">
        <f>CACporLlave*(ChurnBruto/12)*TasaReposicion*(K$10+K$15)</f>
        <v>33.13174402</v>
      </c>
      <c r="L38" s="128">
        <f>CACporLlave*(ChurnBruto/12)*TasaReposicion*(L$10+L$15)</f>
        <v>29.76714438</v>
      </c>
      <c r="M38" s="128">
        <f>CACporLlave*(ChurnBruto/12)*TasaReposicion*(M$10+M$15)</f>
        <v>27.4633898</v>
      </c>
      <c r="N38" s="128">
        <f>CACporLlave*(ChurnBruto/12)*TasaReposicion*(N$10+N$15)</f>
        <v>32.96499797</v>
      </c>
      <c r="O38" s="128">
        <f>CACporLlave*(ChurnBruto/12)*TasaReposicion*(O$10+O$15)</f>
        <v>29.13431058</v>
      </c>
      <c r="P38" s="128">
        <f>CACporLlave*(ChurnBruto/12)*TasaReposicion*(P$10+P$15)</f>
        <v>28.91431599</v>
      </c>
      <c r="Q38" s="128">
        <f>CACporLlave*(ChurnBruto/12)*TasaReposicion*(Q$10+Q$15)</f>
        <v>32.85702171</v>
      </c>
      <c r="R38" s="128">
        <f>CACporLlave*(ChurnBruto/12)*TasaReposicion*(R$10+R$15)</f>
        <v>33.10619111</v>
      </c>
      <c r="S38" s="128">
        <f>CACporLlave*(ChurnBruto/12)*TasaReposicion*(S$10+S$15)</f>
        <v>31.87498001</v>
      </c>
      <c r="T38" s="128">
        <f>CACporLlave*(ChurnBruto/12)*TasaReposicion*(T$10+T$15)</f>
        <v>31.75188685</v>
      </c>
      <c r="U38" s="128">
        <f>CACporLlave*(ChurnBruto/12)*TasaReposicion*(U$10+U$15)</f>
        <v>32.42081413</v>
      </c>
      <c r="V38" s="128">
        <f>CACporLlave*(ChurnBruto/12)*TasaReposicion*(V$10+V$15)</f>
        <v>34.19698097</v>
      </c>
      <c r="W38" s="128">
        <f>CACporLlave*(ChurnBruto/12)*TasaReposicion*(W$10+W$15)</f>
        <v>33.13174402</v>
      </c>
      <c r="X38" s="128">
        <f>CACporLlave*(ChurnBruto/12)*TasaReposicion*(X$10+X$15)</f>
        <v>29.76714438</v>
      </c>
      <c r="Y38" s="128">
        <f>CACporLlave*(ChurnBruto/12)*TasaReposicion*(Y$10+Y$15)</f>
        <v>27.4633898</v>
      </c>
      <c r="Z38" s="128">
        <f>CACporLlave*(ChurnBruto/12)*TasaReposicion*(Z$10+Z$15)</f>
        <v>32.96499797</v>
      </c>
      <c r="AA38" s="128">
        <f>CACporLlave*(ChurnBruto/12)*TasaReposicion*(AA$10+AA$15)</f>
        <v>29.13431058</v>
      </c>
      <c r="AB38" s="128">
        <f>CACporLlave*(ChurnBruto/12)*TasaReposicion*(AB$10+AB$15)</f>
        <v>28.91431599</v>
      </c>
      <c r="AC38" s="128">
        <f>CACporLlave*(ChurnBruto/12)*TasaReposicion*(AC$10+AC$15)</f>
        <v>32.85702171</v>
      </c>
      <c r="AD38" s="128">
        <f>CACporLlave*(ChurnBruto/12)*TasaReposicion*(AD$10+AD$15)</f>
        <v>33.10619111</v>
      </c>
      <c r="AE38" s="128">
        <f>CACporLlave*(ChurnBruto/12)*TasaReposicion*(AE$10+AE$15)</f>
        <v>31.87498001</v>
      </c>
      <c r="AF38" s="128">
        <f>CACporLlave*(ChurnBruto/12)*TasaReposicion*(AF$10+AF$15)</f>
        <v>31.75188685</v>
      </c>
      <c r="AG38" s="128">
        <f>CACporLlave*(ChurnBruto/12)*TasaReposicion*(AG$10+AG$15)</f>
        <v>32.42081413</v>
      </c>
      <c r="AH38" s="128">
        <f>CACporLlave*(ChurnBruto/12)*TasaReposicion*(AH$10+AH$15)</f>
        <v>34.19698097</v>
      </c>
      <c r="AI38" s="128">
        <f>CACporLlave*(ChurnBruto/12)*TasaReposicion*(AI$10+AI$15)</f>
        <v>33.13174402</v>
      </c>
      <c r="AJ38" s="128">
        <f>CACporLlave*(ChurnBruto/12)*TasaReposicion*(AJ$10+AJ$15)</f>
        <v>29.76714438</v>
      </c>
      <c r="AK38" s="128">
        <f>CACporLlave*(ChurnBruto/12)*TasaReposicion*(AK$10+AK$15)</f>
        <v>27.4633898</v>
      </c>
      <c r="AL38" s="128">
        <f>CACporLlave*(ChurnBruto/12)*TasaReposicion*(AL$10+AL$15)</f>
        <v>32.96499797</v>
      </c>
      <c r="AM38" s="128">
        <f>CACporLlave*(ChurnBruto/12)*TasaReposicion*(AM$10+AM$15)</f>
        <v>29.13431058</v>
      </c>
      <c r="AN38" s="128">
        <f>CACporLlave*(ChurnBruto/12)*TasaReposicion*(AN$10+AN$15)</f>
        <v>28.91431599</v>
      </c>
      <c r="AO38" s="128">
        <f>CACporLlave*(ChurnBruto/12)*TasaReposicion*(AO$10+AO$15)</f>
        <v>32.85702171</v>
      </c>
      <c r="AP38" s="128">
        <f>CACporLlave*(ChurnBruto/12)*TasaReposicion*(AP$10+AP$15)</f>
        <v>33.10619111</v>
      </c>
      <c r="AQ38" s="128">
        <f>CACporLlave*(ChurnBruto/12)*TasaReposicion*(AQ$10+AQ$15)</f>
        <v>31.87498001</v>
      </c>
      <c r="AR38" s="128">
        <f>CACporLlave*(ChurnBruto/12)*TasaReposicion*(AR$10+AR$15)</f>
        <v>31.75188685</v>
      </c>
      <c r="AS38" s="128">
        <f>CACporLlave*(ChurnBruto/12)*TasaReposicion*(AS$10+AS$15)</f>
        <v>32.42081413</v>
      </c>
      <c r="AT38" s="128">
        <f>CACporLlave*(ChurnBruto/12)*TasaReposicion*(AT$10+AT$15)</f>
        <v>34.19698097</v>
      </c>
      <c r="AU38" s="128">
        <f>CACporLlave*(ChurnBruto/12)*TasaReposicion*(AU$10+AU$15)</f>
        <v>33.13174402</v>
      </c>
      <c r="AV38" s="128">
        <f>CACporLlave*(ChurnBruto/12)*TasaReposicion*(AV$10+AV$15)</f>
        <v>29.76714438</v>
      </c>
      <c r="AW38" s="128">
        <f>CACporLlave*(ChurnBruto/12)*TasaReposicion*(AW$10+AW$15)</f>
        <v>27.4633898</v>
      </c>
      <c r="AX38" s="128">
        <f>CACporLlave*(ChurnBruto/12)*TasaReposicion*(AX$10+AX$15)</f>
        <v>32.96499797</v>
      </c>
      <c r="AY38" s="128">
        <f>CACporLlave*(ChurnBruto/12)*TasaReposicion*(AY$10+AY$15)</f>
        <v>29.13431058</v>
      </c>
      <c r="AZ38" s="128">
        <f>CACporLlave*(ChurnBruto/12)*TasaReposicion*(AZ$10+AZ$15)</f>
        <v>28.91431599</v>
      </c>
      <c r="BA38" s="128">
        <f>CACporLlave*(ChurnBruto/12)*TasaReposicion*(BA$10+BA$15)</f>
        <v>32.85702171</v>
      </c>
      <c r="BB38" s="128">
        <f>CACporLlave*(ChurnBruto/12)*TasaReposicion*(BB$10+BB$15)</f>
        <v>33.10619111</v>
      </c>
      <c r="BC38" s="128">
        <f>CACporLlave*(ChurnBruto/12)*TasaReposicion*(BC$10+BC$15)</f>
        <v>31.87498001</v>
      </c>
      <c r="BD38" s="128">
        <f>CACporLlave*(ChurnBruto/12)*TasaReposicion*(BD$10+BD$15)</f>
        <v>31.75188685</v>
      </c>
      <c r="BE38" s="128">
        <f>CACporLlave*(ChurnBruto/12)*TasaReposicion*(BE$10+BE$15)</f>
        <v>32.42081413</v>
      </c>
      <c r="BF38" s="128">
        <f>CACporLlave*(ChurnBruto/12)*TasaReposicion*(BF$10+BF$15)</f>
        <v>34.19698097</v>
      </c>
      <c r="BG38" s="128">
        <f>CACporLlave*(ChurnBruto/12)*TasaReposicion*(BG$10+BG$15)</f>
        <v>33.13174402</v>
      </c>
      <c r="BH38" s="128">
        <f>CACporLlave*(ChurnBruto/12)*TasaReposicion*(BH$10+BH$15)</f>
        <v>29.76714438</v>
      </c>
      <c r="BI38" s="128">
        <f>CACporLlave*(ChurnBruto/12)*TasaReposicion*(BI$10+BI$15)</f>
        <v>27.4633898</v>
      </c>
      <c r="BJ38" s="128">
        <f>CACporLlave*(ChurnBruto/12)*TasaReposicion*(BJ$10+BJ$15)</f>
        <v>32.96499797</v>
      </c>
      <c r="BK38" s="128">
        <f>CACporLlave*(ChurnBruto/12)*TasaReposicion*(BK$10+BK$15)</f>
        <v>29.13431058</v>
      </c>
      <c r="BL38" s="128"/>
      <c r="BM38" s="128"/>
    </row>
    <row r="39" ht="22.5" customHeight="1" outlineLevel="2">
      <c r="A39" s="199"/>
      <c r="B39" s="200" t="s">
        <v>552</v>
      </c>
      <c r="C39" s="201"/>
      <c r="D39" s="181">
        <f t="shared" ref="D39:BK39" si="30">IFERROR(D37/D$19,"")</f>
        <v>0.0878269871</v>
      </c>
      <c r="E39" s="181">
        <f t="shared" si="30"/>
        <v>0.08500908632</v>
      </c>
      <c r="F39" s="181">
        <f t="shared" si="30"/>
        <v>0.0839577635</v>
      </c>
      <c r="G39" s="181">
        <f t="shared" si="30"/>
        <v>0.08735384934</v>
      </c>
      <c r="H39" s="181">
        <f t="shared" si="30"/>
        <v>0.08594447339</v>
      </c>
      <c r="I39" s="181">
        <f t="shared" si="30"/>
        <v>0.08616999946</v>
      </c>
      <c r="J39" s="181">
        <f t="shared" si="30"/>
        <v>0.08295758273</v>
      </c>
      <c r="K39" s="181">
        <f t="shared" si="30"/>
        <v>0.08342555831</v>
      </c>
      <c r="L39" s="181">
        <f t="shared" si="30"/>
        <v>0.09353124109</v>
      </c>
      <c r="M39" s="181">
        <f t="shared" si="30"/>
        <v>0.09637278116</v>
      </c>
      <c r="N39" s="181">
        <f t="shared" si="30"/>
        <v>0.08359083392</v>
      </c>
      <c r="O39" s="181">
        <f t="shared" si="30"/>
        <v>0.08952015439</v>
      </c>
      <c r="P39" s="181">
        <f t="shared" si="30"/>
        <v>0.09482922655</v>
      </c>
      <c r="Q39" s="181">
        <f t="shared" si="30"/>
        <v>0.0917522686</v>
      </c>
      <c r="R39" s="181">
        <f t="shared" si="30"/>
        <v>0.09060255822</v>
      </c>
      <c r="S39" s="181">
        <f t="shared" si="30"/>
        <v>0.09429891628</v>
      </c>
      <c r="T39" s="181">
        <f t="shared" si="30"/>
        <v>0.09275812887</v>
      </c>
      <c r="U39" s="181">
        <f t="shared" si="30"/>
        <v>0.09299916878</v>
      </c>
      <c r="V39" s="181">
        <f t="shared" si="30"/>
        <v>0.08949577281</v>
      </c>
      <c r="W39" s="181">
        <f t="shared" si="30"/>
        <v>0.09000093887</v>
      </c>
      <c r="X39" s="181">
        <f t="shared" si="30"/>
        <v>0.101010655</v>
      </c>
      <c r="Y39" s="181">
        <f t="shared" si="30"/>
        <v>0.1041064276</v>
      </c>
      <c r="Z39" s="181">
        <f t="shared" si="30"/>
        <v>0.09016797768</v>
      </c>
      <c r="AA39" s="181">
        <f t="shared" si="30"/>
        <v>0.09662148803</v>
      </c>
      <c r="AB39" s="181">
        <f t="shared" si="30"/>
        <v>0.1023600391</v>
      </c>
      <c r="AC39" s="181">
        <f t="shared" si="30"/>
        <v>0.09900234394</v>
      </c>
      <c r="AD39" s="181">
        <f t="shared" si="30"/>
        <v>0.09774593603</v>
      </c>
      <c r="AE39" s="181">
        <f t="shared" si="30"/>
        <v>0.1017670321</v>
      </c>
      <c r="AF39" s="181">
        <f t="shared" si="30"/>
        <v>0.1000837469</v>
      </c>
      <c r="AG39" s="181">
        <f t="shared" si="30"/>
        <v>0.1003413218</v>
      </c>
      <c r="AH39" s="181">
        <f t="shared" si="30"/>
        <v>0.09652289719</v>
      </c>
      <c r="AI39" s="181">
        <f t="shared" si="30"/>
        <v>0.09706805325</v>
      </c>
      <c r="AJ39" s="181">
        <f t="shared" si="30"/>
        <v>0.1090560733</v>
      </c>
      <c r="AK39" s="181">
        <f t="shared" si="30"/>
        <v>0.1124270416</v>
      </c>
      <c r="AL39" s="181">
        <f t="shared" si="30"/>
        <v>0.09723631724</v>
      </c>
      <c r="AM39" s="181">
        <f t="shared" si="30"/>
        <v>0.104256657</v>
      </c>
      <c r="AN39" s="181">
        <f t="shared" si="30"/>
        <v>0.1104574847</v>
      </c>
      <c r="AO39" s="181">
        <f t="shared" si="30"/>
        <v>0.1039324034</v>
      </c>
      <c r="AP39" s="181">
        <f t="shared" si="30"/>
        <v>0.105441537</v>
      </c>
      <c r="AQ39" s="181">
        <f t="shared" si="30"/>
        <v>0.1098144188</v>
      </c>
      <c r="AR39" s="181">
        <f t="shared" si="30"/>
        <v>0.1079763882</v>
      </c>
      <c r="AS39" s="181">
        <f t="shared" si="30"/>
        <v>0.1082516326</v>
      </c>
      <c r="AT39" s="181">
        <f t="shared" si="30"/>
        <v>0.1040916037</v>
      </c>
      <c r="AU39" s="181">
        <f t="shared" si="30"/>
        <v>0.1046798502</v>
      </c>
      <c r="AV39" s="181">
        <f t="shared" si="30"/>
        <v>0.1177282716</v>
      </c>
      <c r="AW39" s="181">
        <f t="shared" si="30"/>
        <v>0.1213976131</v>
      </c>
      <c r="AX39" s="181">
        <f t="shared" si="30"/>
        <v>0.104848763</v>
      </c>
      <c r="AY39" s="181">
        <f t="shared" si="30"/>
        <v>0.1124830676</v>
      </c>
      <c r="AZ39" s="181">
        <f t="shared" si="30"/>
        <v>0.1191824835</v>
      </c>
      <c r="BA39" s="181">
        <f t="shared" si="30"/>
        <v>0.115190855</v>
      </c>
      <c r="BB39" s="181">
        <f t="shared" si="30"/>
        <v>0.1136932753</v>
      </c>
      <c r="BC39" s="181">
        <f t="shared" si="30"/>
        <v>0.1184455437</v>
      </c>
      <c r="BD39" s="181">
        <f t="shared" si="30"/>
        <v>0.1164402043</v>
      </c>
      <c r="BE39" s="181">
        <f t="shared" si="30"/>
        <v>0.1167342343</v>
      </c>
      <c r="BF39" s="181">
        <f t="shared" si="30"/>
        <v>0.1122054229</v>
      </c>
      <c r="BG39" s="181">
        <f t="shared" si="30"/>
        <v>0.112839884</v>
      </c>
      <c r="BH39" s="181">
        <f t="shared" si="30"/>
        <v>0.1270325875</v>
      </c>
      <c r="BI39" s="181">
        <f t="shared" si="30"/>
        <v>0.1310239958</v>
      </c>
      <c r="BJ39" s="181">
        <f t="shared" si="30"/>
        <v>0.1130087397</v>
      </c>
      <c r="BK39" s="181">
        <f t="shared" si="30"/>
        <v>0.1213050968</v>
      </c>
      <c r="BL39" s="181">
        <f>AVERAGE(D39:BK39)</f>
        <v>0.1020062776</v>
      </c>
    </row>
    <row r="40" ht="22.5" customHeight="1" outlineLevel="2">
      <c r="A40" s="69"/>
      <c r="B40" s="184"/>
      <c r="C40" s="185" t="s">
        <v>598</v>
      </c>
      <c r="D40" s="186">
        <f>8000*(1+InflacionAnual)^(YEAR(D$3)-AnioBase)</f>
        <v>8000</v>
      </c>
      <c r="E40" s="186">
        <f>8000*(1+InflacionAnual)^(YEAR(E$3)-AnioBase)</f>
        <v>8000</v>
      </c>
      <c r="F40" s="186">
        <f>8000*(1+InflacionAnual)^(YEAR(F$3)-AnioBase)</f>
        <v>8000</v>
      </c>
      <c r="G40" s="186">
        <f>8000*(1+InflacionAnual)^(YEAR(G$3)-AnioBase)</f>
        <v>8000</v>
      </c>
      <c r="H40" s="186">
        <f>8000*(1+InflacionAnual)^(YEAR(H$3)-AnioBase)</f>
        <v>8000</v>
      </c>
      <c r="I40" s="186">
        <f>8000*(1+InflacionAnual)^(YEAR(I$3)-AnioBase)</f>
        <v>8000</v>
      </c>
      <c r="J40" s="186">
        <f>8000*(1+InflacionAnual)^(YEAR(J$3)-AnioBase)</f>
        <v>8000</v>
      </c>
      <c r="K40" s="186">
        <f>8000*(1+InflacionAnual)^(YEAR(K$3)-AnioBase)</f>
        <v>8000</v>
      </c>
      <c r="L40" s="186">
        <f>8000*(1+InflacionAnual)^(YEAR(L$3)-AnioBase)</f>
        <v>8000</v>
      </c>
      <c r="M40" s="186">
        <f>8000*(1+InflacionAnual)^(YEAR(M$3)-AnioBase)</f>
        <v>8000</v>
      </c>
      <c r="N40" s="186">
        <f>8000*(1+InflacionAnual)^(YEAR(N$3)-AnioBase)</f>
        <v>8000</v>
      </c>
      <c r="O40" s="186">
        <f>8000*(1+InflacionAnual)^(YEAR(O$3)-AnioBase)</f>
        <v>8000</v>
      </c>
      <c r="P40" s="186">
        <f>8000*(1+InflacionAnual)^(YEAR(P$3)-AnioBase)</f>
        <v>8360</v>
      </c>
      <c r="Q40" s="186">
        <f>8000*(1+InflacionAnual)^(YEAR(Q$3)-AnioBase)</f>
        <v>8360</v>
      </c>
      <c r="R40" s="186">
        <f>8000*(1+InflacionAnual)^(YEAR(R$3)-AnioBase)</f>
        <v>8360</v>
      </c>
      <c r="S40" s="186">
        <f>8000*(1+InflacionAnual)^(YEAR(S$3)-AnioBase)</f>
        <v>8360</v>
      </c>
      <c r="T40" s="186">
        <f>8000*(1+InflacionAnual)^(YEAR(T$3)-AnioBase)</f>
        <v>8360</v>
      </c>
      <c r="U40" s="186">
        <f>8000*(1+InflacionAnual)^(YEAR(U$3)-AnioBase)</f>
        <v>8360</v>
      </c>
      <c r="V40" s="186">
        <f>8000*(1+InflacionAnual)^(YEAR(V$3)-AnioBase)</f>
        <v>8360</v>
      </c>
      <c r="W40" s="186">
        <f>8000*(1+InflacionAnual)^(YEAR(W$3)-AnioBase)</f>
        <v>8360</v>
      </c>
      <c r="X40" s="186">
        <f>8000*(1+InflacionAnual)^(YEAR(X$3)-AnioBase)</f>
        <v>8360</v>
      </c>
      <c r="Y40" s="186">
        <f>8000*(1+InflacionAnual)^(YEAR(Y$3)-AnioBase)</f>
        <v>8360</v>
      </c>
      <c r="Z40" s="186">
        <f>8000*(1+InflacionAnual)^(YEAR(Z$3)-AnioBase)</f>
        <v>8360</v>
      </c>
      <c r="AA40" s="186">
        <f>8000*(1+InflacionAnual)^(YEAR(AA$3)-AnioBase)</f>
        <v>8360</v>
      </c>
      <c r="AB40" s="186">
        <f>8000*(1+InflacionAnual)^(YEAR(AB$3)-AnioBase)</f>
        <v>8736.2</v>
      </c>
      <c r="AC40" s="186">
        <f>8000*(1+InflacionAnual)^(YEAR(AC$3)-AnioBase)</f>
        <v>8736.2</v>
      </c>
      <c r="AD40" s="186">
        <f>8000*(1+InflacionAnual)^(YEAR(AD$3)-AnioBase)</f>
        <v>8736.2</v>
      </c>
      <c r="AE40" s="186">
        <f>8000*(1+InflacionAnual)^(YEAR(AE$3)-AnioBase)</f>
        <v>8736.2</v>
      </c>
      <c r="AF40" s="186">
        <f>8000*(1+InflacionAnual)^(YEAR(AF$3)-AnioBase)</f>
        <v>8736.2</v>
      </c>
      <c r="AG40" s="186">
        <f>8000*(1+InflacionAnual)^(YEAR(AG$3)-AnioBase)</f>
        <v>8736.2</v>
      </c>
      <c r="AH40" s="186">
        <f>8000*(1+InflacionAnual)^(YEAR(AH$3)-AnioBase)</f>
        <v>8736.2</v>
      </c>
      <c r="AI40" s="186">
        <f>8000*(1+InflacionAnual)^(YEAR(AI$3)-AnioBase)</f>
        <v>8736.2</v>
      </c>
      <c r="AJ40" s="186">
        <f>8000*(1+InflacionAnual)^(YEAR(AJ$3)-AnioBase)</f>
        <v>8736.2</v>
      </c>
      <c r="AK40" s="186">
        <f>8000*(1+InflacionAnual)^(YEAR(AK$3)-AnioBase)</f>
        <v>8736.2</v>
      </c>
      <c r="AL40" s="186">
        <f>8000*(1+InflacionAnual)^(YEAR(AL$3)-AnioBase)</f>
        <v>8736.2</v>
      </c>
      <c r="AM40" s="186">
        <f>8000*(1+InflacionAnual)^(YEAR(AM$3)-AnioBase)</f>
        <v>8736.2</v>
      </c>
      <c r="AN40" s="186">
        <f>8000*(1+InflacionAnual)^(YEAR(AN$3)-AnioBase)</f>
        <v>9129.329</v>
      </c>
      <c r="AO40" s="186">
        <f>8000*(1+InflacionAnual)^(YEAR(AO$3)-AnioBase)</f>
        <v>9129.329</v>
      </c>
      <c r="AP40" s="186">
        <f>8000*(1+InflacionAnual)^(YEAR(AP$3)-AnioBase)</f>
        <v>9129.329</v>
      </c>
      <c r="AQ40" s="186">
        <f>8000*(1+InflacionAnual)^(YEAR(AQ$3)-AnioBase)</f>
        <v>9129.329</v>
      </c>
      <c r="AR40" s="186">
        <f>8000*(1+InflacionAnual)^(YEAR(AR$3)-AnioBase)</f>
        <v>9129.329</v>
      </c>
      <c r="AS40" s="186">
        <f>8000*(1+InflacionAnual)^(YEAR(AS$3)-AnioBase)</f>
        <v>9129.329</v>
      </c>
      <c r="AT40" s="186">
        <f>8000*(1+InflacionAnual)^(YEAR(AT$3)-AnioBase)</f>
        <v>9129.329</v>
      </c>
      <c r="AU40" s="186">
        <f>8000*(1+InflacionAnual)^(YEAR(AU$3)-AnioBase)</f>
        <v>9129.329</v>
      </c>
      <c r="AV40" s="186">
        <f>8000*(1+InflacionAnual)^(YEAR(AV$3)-AnioBase)</f>
        <v>9129.329</v>
      </c>
      <c r="AW40" s="186">
        <f>8000*(1+InflacionAnual)^(YEAR(AW$3)-AnioBase)</f>
        <v>9129.329</v>
      </c>
      <c r="AX40" s="186">
        <f>8000*(1+InflacionAnual)^(YEAR(AX$3)-AnioBase)</f>
        <v>9129.329</v>
      </c>
      <c r="AY40" s="186">
        <f>8000*(1+InflacionAnual)^(YEAR(AY$3)-AnioBase)</f>
        <v>9129.329</v>
      </c>
      <c r="AZ40" s="186">
        <f>8000*(1+InflacionAnual)^(YEAR(AZ$3)-AnioBase)</f>
        <v>9540.148805</v>
      </c>
      <c r="BA40" s="186">
        <f>8000*(1+InflacionAnual)^(YEAR(BA$3)-AnioBase)</f>
        <v>9540.148805</v>
      </c>
      <c r="BB40" s="186">
        <f>8000*(1+InflacionAnual)^(YEAR(BB$3)-AnioBase)</f>
        <v>9540.148805</v>
      </c>
      <c r="BC40" s="186">
        <f>8000*(1+InflacionAnual)^(YEAR(BC$3)-AnioBase)</f>
        <v>9540.148805</v>
      </c>
      <c r="BD40" s="186">
        <f>8000*(1+InflacionAnual)^(YEAR(BD$3)-AnioBase)</f>
        <v>9540.148805</v>
      </c>
      <c r="BE40" s="186">
        <f>8000*(1+InflacionAnual)^(YEAR(BE$3)-AnioBase)</f>
        <v>9540.148805</v>
      </c>
      <c r="BF40" s="186">
        <f>8000*(1+InflacionAnual)^(YEAR(BF$3)-AnioBase)</f>
        <v>9540.148805</v>
      </c>
      <c r="BG40" s="186">
        <f>8000*(1+InflacionAnual)^(YEAR(BG$3)-AnioBase)</f>
        <v>9540.148805</v>
      </c>
      <c r="BH40" s="186">
        <f>8000*(1+InflacionAnual)^(YEAR(BH$3)-AnioBase)</f>
        <v>9540.148805</v>
      </c>
      <c r="BI40" s="186">
        <f>8000*(1+InflacionAnual)^(YEAR(BI$3)-AnioBase)</f>
        <v>9540.148805</v>
      </c>
      <c r="BJ40" s="186">
        <f>8000*(1+InflacionAnual)^(YEAR(BJ$3)-AnioBase)</f>
        <v>9540.148805</v>
      </c>
      <c r="BK40" s="186">
        <f>8000*(1+InflacionAnual)^(YEAR(BK$3)-AnioBase)</f>
        <v>9540.148805</v>
      </c>
      <c r="BL40" s="186">
        <f t="shared" ref="BL40:BL43" si="31">SUM(D40:BK40)</f>
        <v>525188.1337</v>
      </c>
      <c r="BM40" s="186">
        <f t="shared" ref="BM40:BM43" si="32">AVERAGE(D40:BK40)</f>
        <v>8753.135561</v>
      </c>
    </row>
    <row r="41" ht="22.5" customHeight="1" outlineLevel="2">
      <c r="A41" s="69"/>
      <c r="B41" s="184"/>
      <c r="C41" s="185" t="s">
        <v>588</v>
      </c>
      <c r="D41" s="186">
        <f>6670*(1+InflacionAnual)^(YEAR(D$3)-AnioBase)*IF((D$9+D$14)&lt;=40,Tramo1,IF((D$9+D$14)&lt;=80,Tramo2,Tramo3))</f>
        <v>6670</v>
      </c>
      <c r="E41" s="186">
        <f>6670*(1+InflacionAnual)^(YEAR(E$3)-AnioBase)*IF((E$9+E$14)&lt;=40,Tramo1,IF((E$9+E$14)&lt;=80,Tramo2,Tramo3))</f>
        <v>6670</v>
      </c>
      <c r="F41" s="186">
        <f>6670*(1+InflacionAnual)^(YEAR(F$3)-AnioBase)*IF((F$9+F$14)&lt;=40,Tramo1,IF((F$9+F$14)&lt;=80,Tramo2,Tramo3))</f>
        <v>6670</v>
      </c>
      <c r="G41" s="186">
        <f>6670*(1+InflacionAnual)^(YEAR(G$3)-AnioBase)*IF((G$9+G$14)&lt;=40,Tramo1,IF((G$9+G$14)&lt;=80,Tramo2,Tramo3))</f>
        <v>6670</v>
      </c>
      <c r="H41" s="186">
        <f>6670*(1+InflacionAnual)^(YEAR(H$3)-AnioBase)*IF((H$9+H$14)&lt;=40,Tramo1,IF((H$9+H$14)&lt;=80,Tramo2,Tramo3))</f>
        <v>6670</v>
      </c>
      <c r="I41" s="186">
        <f>6670*(1+InflacionAnual)^(YEAR(I$3)-AnioBase)*IF((I$9+I$14)&lt;=40,Tramo1,IF((I$9+I$14)&lt;=80,Tramo2,Tramo3))</f>
        <v>6670</v>
      </c>
      <c r="J41" s="186">
        <f>6670*(1+InflacionAnual)^(YEAR(J$3)-AnioBase)*IF((J$9+J$14)&lt;=40,Tramo1,IF((J$9+J$14)&lt;=80,Tramo2,Tramo3))</f>
        <v>6670</v>
      </c>
      <c r="K41" s="186">
        <f>6670*(1+InflacionAnual)^(YEAR(K$3)-AnioBase)*IF((K$9+K$14)&lt;=40,Tramo1,IF((K$9+K$14)&lt;=80,Tramo2,Tramo3))</f>
        <v>6670</v>
      </c>
      <c r="L41" s="186">
        <f>6670*(1+InflacionAnual)^(YEAR(L$3)-AnioBase)*IF((L$9+L$14)&lt;=40,Tramo1,IF((L$9+L$14)&lt;=80,Tramo2,Tramo3))</f>
        <v>6670</v>
      </c>
      <c r="M41" s="186">
        <f>6670*(1+InflacionAnual)^(YEAR(M$3)-AnioBase)*IF((M$9+M$14)&lt;=40,Tramo1,IF((M$9+M$14)&lt;=80,Tramo2,Tramo3))</f>
        <v>6670</v>
      </c>
      <c r="N41" s="186">
        <f>6670*(1+InflacionAnual)^(YEAR(N$3)-AnioBase)*IF((N$9+N$14)&lt;=40,Tramo1,IF((N$9+N$14)&lt;=80,Tramo2,Tramo3))</f>
        <v>6670</v>
      </c>
      <c r="O41" s="186">
        <f>6670*(1+InflacionAnual)^(YEAR(O$3)-AnioBase)*IF((O$9+O$14)&lt;=40,Tramo1,IF((O$9+O$14)&lt;=80,Tramo2,Tramo3))</f>
        <v>6670</v>
      </c>
      <c r="P41" s="186">
        <f>6670*(1+InflacionAnual)^(YEAR(P$3)-AnioBase)*IF((P$9+P$14)&lt;=40,Tramo1,IF((P$9+P$14)&lt;=80,Tramo2,Tramo3))</f>
        <v>6970.15</v>
      </c>
      <c r="Q41" s="186">
        <f>6670*(1+InflacionAnual)^(YEAR(Q$3)-AnioBase)*IF((Q$9+Q$14)&lt;=40,Tramo1,IF((Q$9+Q$14)&lt;=80,Tramo2,Tramo3))</f>
        <v>6970.15</v>
      </c>
      <c r="R41" s="186">
        <f>6670*(1+InflacionAnual)^(YEAR(R$3)-AnioBase)*IF((R$9+R$14)&lt;=40,Tramo1,IF((R$9+R$14)&lt;=80,Tramo2,Tramo3))</f>
        <v>6970.15</v>
      </c>
      <c r="S41" s="186">
        <f>6670*(1+InflacionAnual)^(YEAR(S$3)-AnioBase)*IF((S$9+S$14)&lt;=40,Tramo1,IF((S$9+S$14)&lt;=80,Tramo2,Tramo3))</f>
        <v>6970.15</v>
      </c>
      <c r="T41" s="186">
        <f>6670*(1+InflacionAnual)^(YEAR(T$3)-AnioBase)*IF((T$9+T$14)&lt;=40,Tramo1,IF((T$9+T$14)&lt;=80,Tramo2,Tramo3))</f>
        <v>6970.15</v>
      </c>
      <c r="U41" s="186">
        <f>6670*(1+InflacionAnual)^(YEAR(U$3)-AnioBase)*IF((U$9+U$14)&lt;=40,Tramo1,IF((U$9+U$14)&lt;=80,Tramo2,Tramo3))</f>
        <v>6970.15</v>
      </c>
      <c r="V41" s="186">
        <f>6670*(1+InflacionAnual)^(YEAR(V$3)-AnioBase)*IF((V$9+V$14)&lt;=40,Tramo1,IF((V$9+V$14)&lt;=80,Tramo2,Tramo3))</f>
        <v>6970.15</v>
      </c>
      <c r="W41" s="186">
        <f>6670*(1+InflacionAnual)^(YEAR(W$3)-AnioBase)*IF((W$9+W$14)&lt;=40,Tramo1,IF((W$9+W$14)&lt;=80,Tramo2,Tramo3))</f>
        <v>6970.15</v>
      </c>
      <c r="X41" s="186">
        <f>6670*(1+InflacionAnual)^(YEAR(X$3)-AnioBase)*IF((X$9+X$14)&lt;=40,Tramo1,IF((X$9+X$14)&lt;=80,Tramo2,Tramo3))</f>
        <v>6970.15</v>
      </c>
      <c r="Y41" s="186">
        <f>6670*(1+InflacionAnual)^(YEAR(Y$3)-AnioBase)*IF((Y$9+Y$14)&lt;=40,Tramo1,IF((Y$9+Y$14)&lt;=80,Tramo2,Tramo3))</f>
        <v>6970.15</v>
      </c>
      <c r="Z41" s="186">
        <f>6670*(1+InflacionAnual)^(YEAR(Z$3)-AnioBase)*IF((Z$9+Z$14)&lt;=40,Tramo1,IF((Z$9+Z$14)&lt;=80,Tramo2,Tramo3))</f>
        <v>6970.15</v>
      </c>
      <c r="AA41" s="186">
        <f>6670*(1+InflacionAnual)^(YEAR(AA$3)-AnioBase)*IF((AA$9+AA$14)&lt;=40,Tramo1,IF((AA$9+AA$14)&lt;=80,Tramo2,Tramo3))</f>
        <v>6970.15</v>
      </c>
      <c r="AB41" s="186">
        <f>6670*(1+InflacionAnual)^(YEAR(AB$3)-AnioBase)*IF((AB$9+AB$14)&lt;=40,Tramo1,IF((AB$9+AB$14)&lt;=80,Tramo2,Tramo3))</f>
        <v>7283.80675</v>
      </c>
      <c r="AC41" s="186">
        <f>6670*(1+InflacionAnual)^(YEAR(AC$3)-AnioBase)*IF((AC$9+AC$14)&lt;=40,Tramo1,IF((AC$9+AC$14)&lt;=80,Tramo2,Tramo3))</f>
        <v>7283.80675</v>
      </c>
      <c r="AD41" s="186">
        <f>6670*(1+InflacionAnual)^(YEAR(AD$3)-AnioBase)*IF((AD$9+AD$14)&lt;=40,Tramo1,IF((AD$9+AD$14)&lt;=80,Tramo2,Tramo3))</f>
        <v>7283.80675</v>
      </c>
      <c r="AE41" s="186">
        <f>6670*(1+InflacionAnual)^(YEAR(AE$3)-AnioBase)*IF((AE$9+AE$14)&lt;=40,Tramo1,IF((AE$9+AE$14)&lt;=80,Tramo2,Tramo3))</f>
        <v>7283.80675</v>
      </c>
      <c r="AF41" s="186">
        <f>6670*(1+InflacionAnual)^(YEAR(AF$3)-AnioBase)*IF((AF$9+AF$14)&lt;=40,Tramo1,IF((AF$9+AF$14)&lt;=80,Tramo2,Tramo3))</f>
        <v>7283.80675</v>
      </c>
      <c r="AG41" s="186">
        <f>6670*(1+InflacionAnual)^(YEAR(AG$3)-AnioBase)*IF((AG$9+AG$14)&lt;=40,Tramo1,IF((AG$9+AG$14)&lt;=80,Tramo2,Tramo3))</f>
        <v>7283.80675</v>
      </c>
      <c r="AH41" s="186">
        <f>6670*(1+InflacionAnual)^(YEAR(AH$3)-AnioBase)*IF((AH$9+AH$14)&lt;=40,Tramo1,IF((AH$9+AH$14)&lt;=80,Tramo2,Tramo3))</f>
        <v>7283.80675</v>
      </c>
      <c r="AI41" s="186">
        <f>6670*(1+InflacionAnual)^(YEAR(AI$3)-AnioBase)*IF((AI$9+AI$14)&lt;=40,Tramo1,IF((AI$9+AI$14)&lt;=80,Tramo2,Tramo3))</f>
        <v>7283.80675</v>
      </c>
      <c r="AJ41" s="186">
        <f>6670*(1+InflacionAnual)^(YEAR(AJ$3)-AnioBase)*IF((AJ$9+AJ$14)&lt;=40,Tramo1,IF((AJ$9+AJ$14)&lt;=80,Tramo2,Tramo3))</f>
        <v>7283.80675</v>
      </c>
      <c r="AK41" s="186">
        <f>6670*(1+InflacionAnual)^(YEAR(AK$3)-AnioBase)*IF((AK$9+AK$14)&lt;=40,Tramo1,IF((AK$9+AK$14)&lt;=80,Tramo2,Tramo3))</f>
        <v>7283.80675</v>
      </c>
      <c r="AL41" s="186">
        <f>6670*(1+InflacionAnual)^(YEAR(AL$3)-AnioBase)*IF((AL$9+AL$14)&lt;=40,Tramo1,IF((AL$9+AL$14)&lt;=80,Tramo2,Tramo3))</f>
        <v>7283.80675</v>
      </c>
      <c r="AM41" s="186">
        <f>6670*(1+InflacionAnual)^(YEAR(AM$3)-AnioBase)*IF((AM$9+AM$14)&lt;=40,Tramo1,IF((AM$9+AM$14)&lt;=80,Tramo2,Tramo3))</f>
        <v>7283.80675</v>
      </c>
      <c r="AN41" s="186">
        <f>6670*(1+InflacionAnual)^(YEAR(AN$3)-AnioBase)*IF((AN$9+AN$14)&lt;=40,Tramo1,IF((AN$9+AN$14)&lt;=80,Tramo2,Tramo3))</f>
        <v>7611.578054</v>
      </c>
      <c r="AO41" s="186">
        <f>6670*(1+InflacionAnual)^(YEAR(AO$3)-AnioBase)*IF((AO$9+AO$14)&lt;=40,Tramo1,IF((AO$9+AO$14)&lt;=80,Tramo2,Tramo3))</f>
        <v>7611.578054</v>
      </c>
      <c r="AP41" s="186">
        <f>6670*(1+InflacionAnual)^(YEAR(AP$3)-AnioBase)*IF((AP$9+AP$14)&lt;=40,Tramo1,IF((AP$9+AP$14)&lt;=80,Tramo2,Tramo3))</f>
        <v>7611.578054</v>
      </c>
      <c r="AQ41" s="186">
        <f>6670*(1+InflacionAnual)^(YEAR(AQ$3)-AnioBase)*IF((AQ$9+AQ$14)&lt;=40,Tramo1,IF((AQ$9+AQ$14)&lt;=80,Tramo2,Tramo3))</f>
        <v>7611.578054</v>
      </c>
      <c r="AR41" s="186">
        <f>6670*(1+InflacionAnual)^(YEAR(AR$3)-AnioBase)*IF((AR$9+AR$14)&lt;=40,Tramo1,IF((AR$9+AR$14)&lt;=80,Tramo2,Tramo3))</f>
        <v>7611.578054</v>
      </c>
      <c r="AS41" s="186">
        <f>6670*(1+InflacionAnual)^(YEAR(AS$3)-AnioBase)*IF((AS$9+AS$14)&lt;=40,Tramo1,IF((AS$9+AS$14)&lt;=80,Tramo2,Tramo3))</f>
        <v>7611.578054</v>
      </c>
      <c r="AT41" s="186">
        <f>6670*(1+InflacionAnual)^(YEAR(AT$3)-AnioBase)*IF((AT$9+AT$14)&lt;=40,Tramo1,IF((AT$9+AT$14)&lt;=80,Tramo2,Tramo3))</f>
        <v>7611.578054</v>
      </c>
      <c r="AU41" s="186">
        <f>6670*(1+InflacionAnual)^(YEAR(AU$3)-AnioBase)*IF((AU$9+AU$14)&lt;=40,Tramo1,IF((AU$9+AU$14)&lt;=80,Tramo2,Tramo3))</f>
        <v>7611.578054</v>
      </c>
      <c r="AV41" s="186">
        <f>6670*(1+InflacionAnual)^(YEAR(AV$3)-AnioBase)*IF((AV$9+AV$14)&lt;=40,Tramo1,IF((AV$9+AV$14)&lt;=80,Tramo2,Tramo3))</f>
        <v>7611.578054</v>
      </c>
      <c r="AW41" s="186">
        <f>6670*(1+InflacionAnual)^(YEAR(AW$3)-AnioBase)*IF((AW$9+AW$14)&lt;=40,Tramo1,IF((AW$9+AW$14)&lt;=80,Tramo2,Tramo3))</f>
        <v>7611.578054</v>
      </c>
      <c r="AX41" s="186">
        <f>6670*(1+InflacionAnual)^(YEAR(AX$3)-AnioBase)*IF((AX$9+AX$14)&lt;=40,Tramo1,IF((AX$9+AX$14)&lt;=80,Tramo2,Tramo3))</f>
        <v>7611.578054</v>
      </c>
      <c r="AY41" s="186">
        <f>6670*(1+InflacionAnual)^(YEAR(AY$3)-AnioBase)*IF((AY$9+AY$14)&lt;=40,Tramo1,IF((AY$9+AY$14)&lt;=80,Tramo2,Tramo3))</f>
        <v>7611.578054</v>
      </c>
      <c r="AZ41" s="186">
        <f>6670*(1+InflacionAnual)^(YEAR(AZ$3)-AnioBase)*IF((AZ$9+AZ$14)&lt;=40,Tramo1,IF((AZ$9+AZ$14)&lt;=80,Tramo2,Tramo3))</f>
        <v>7954.099066</v>
      </c>
      <c r="BA41" s="186">
        <f>6670*(1+InflacionAnual)^(YEAR(BA$3)-AnioBase)*IF((BA$9+BA$14)&lt;=40,Tramo1,IF((BA$9+BA$14)&lt;=80,Tramo2,Tramo3))</f>
        <v>7954.099066</v>
      </c>
      <c r="BB41" s="186">
        <f>6670*(1+InflacionAnual)^(YEAR(BB$3)-AnioBase)*IF((BB$9+BB$14)&lt;=40,Tramo1,IF((BB$9+BB$14)&lt;=80,Tramo2,Tramo3))</f>
        <v>7954.099066</v>
      </c>
      <c r="BC41" s="186">
        <f>6670*(1+InflacionAnual)^(YEAR(BC$3)-AnioBase)*IF((BC$9+BC$14)&lt;=40,Tramo1,IF((BC$9+BC$14)&lt;=80,Tramo2,Tramo3))</f>
        <v>7954.099066</v>
      </c>
      <c r="BD41" s="186">
        <f>6670*(1+InflacionAnual)^(YEAR(BD$3)-AnioBase)*IF((BD$9+BD$14)&lt;=40,Tramo1,IF((BD$9+BD$14)&lt;=80,Tramo2,Tramo3))</f>
        <v>7954.099066</v>
      </c>
      <c r="BE41" s="186">
        <f>6670*(1+InflacionAnual)^(YEAR(BE$3)-AnioBase)*IF((BE$9+BE$14)&lt;=40,Tramo1,IF((BE$9+BE$14)&lt;=80,Tramo2,Tramo3))</f>
        <v>7954.099066</v>
      </c>
      <c r="BF41" s="186">
        <f>6670*(1+InflacionAnual)^(YEAR(BF$3)-AnioBase)*IF((BF$9+BF$14)&lt;=40,Tramo1,IF((BF$9+BF$14)&lt;=80,Tramo2,Tramo3))</f>
        <v>7954.099066</v>
      </c>
      <c r="BG41" s="186">
        <f>6670*(1+InflacionAnual)^(YEAR(BG$3)-AnioBase)*IF((BG$9+BG$14)&lt;=40,Tramo1,IF((BG$9+BG$14)&lt;=80,Tramo2,Tramo3))</f>
        <v>7954.099066</v>
      </c>
      <c r="BH41" s="186">
        <f>6670*(1+InflacionAnual)^(YEAR(BH$3)-AnioBase)*IF((BH$9+BH$14)&lt;=40,Tramo1,IF((BH$9+BH$14)&lt;=80,Tramo2,Tramo3))</f>
        <v>7954.099066</v>
      </c>
      <c r="BI41" s="186">
        <f>6670*(1+InflacionAnual)^(YEAR(BI$3)-AnioBase)*IF((BI$9+BI$14)&lt;=40,Tramo1,IF((BI$9+BI$14)&lt;=80,Tramo2,Tramo3))</f>
        <v>7954.099066</v>
      </c>
      <c r="BJ41" s="186">
        <f>6670*(1+InflacionAnual)^(YEAR(BJ$3)-AnioBase)*IF((BJ$9+BJ$14)&lt;=40,Tramo1,IF((BJ$9+BJ$14)&lt;=80,Tramo2,Tramo3))</f>
        <v>7954.099066</v>
      </c>
      <c r="BK41" s="186">
        <f>6670*(1+InflacionAnual)^(YEAR(BK$3)-AnioBase)*IF((BK$9+BK$14)&lt;=40,Tramo1,IF((BK$9+BK$14)&lt;=80,Tramo2,Tramo3))</f>
        <v>7954.099066</v>
      </c>
      <c r="BL41" s="186">
        <f t="shared" si="31"/>
        <v>437875.6064</v>
      </c>
      <c r="BM41" s="186">
        <f t="shared" si="32"/>
        <v>7297.926774</v>
      </c>
    </row>
    <row r="42" ht="22.5" customHeight="1" outlineLevel="2">
      <c r="A42" s="69"/>
      <c r="B42" s="184"/>
      <c r="C42" s="185" t="s">
        <v>600</v>
      </c>
      <c r="D42" s="186">
        <f>15000*(1+InflacionAnual)^(YEAR(D$3)-AnioBase)</f>
        <v>15000</v>
      </c>
      <c r="E42" s="186">
        <f>15000*(1+InflacionAnual)^(YEAR(E$3)-AnioBase)</f>
        <v>15000</v>
      </c>
      <c r="F42" s="186">
        <f>15000*(1+InflacionAnual)^(YEAR(F$3)-AnioBase)</f>
        <v>15000</v>
      </c>
      <c r="G42" s="186">
        <f>15000*(1+InflacionAnual)^(YEAR(G$3)-AnioBase)</f>
        <v>15000</v>
      </c>
      <c r="H42" s="186">
        <f>15000*(1+InflacionAnual)^(YEAR(H$3)-AnioBase)</f>
        <v>15000</v>
      </c>
      <c r="I42" s="186">
        <f>15000*(1+InflacionAnual)^(YEAR(I$3)-AnioBase)</f>
        <v>15000</v>
      </c>
      <c r="J42" s="186">
        <f>15000*(1+InflacionAnual)^(YEAR(J$3)-AnioBase)</f>
        <v>15000</v>
      </c>
      <c r="K42" s="186">
        <f>15000*(1+InflacionAnual)^(YEAR(K$3)-AnioBase)</f>
        <v>15000</v>
      </c>
      <c r="L42" s="186">
        <f>15000*(1+InflacionAnual)^(YEAR(L$3)-AnioBase)</f>
        <v>15000</v>
      </c>
      <c r="M42" s="186">
        <f>15000*(1+InflacionAnual)^(YEAR(M$3)-AnioBase)</f>
        <v>15000</v>
      </c>
      <c r="N42" s="186">
        <f>15000*(1+InflacionAnual)^(YEAR(N$3)-AnioBase)</f>
        <v>15000</v>
      </c>
      <c r="O42" s="186">
        <f>15000*(1+InflacionAnual)^(YEAR(O$3)-AnioBase)</f>
        <v>15000</v>
      </c>
      <c r="P42" s="186">
        <f>15000*(1+InflacionAnual)^(YEAR(P$3)-AnioBase)</f>
        <v>15675</v>
      </c>
      <c r="Q42" s="186">
        <f>15000*(1+InflacionAnual)^(YEAR(Q$3)-AnioBase)</f>
        <v>15675</v>
      </c>
      <c r="R42" s="186">
        <f>15000*(1+InflacionAnual)^(YEAR(R$3)-AnioBase)</f>
        <v>15675</v>
      </c>
      <c r="S42" s="186">
        <f>15000*(1+InflacionAnual)^(YEAR(S$3)-AnioBase)</f>
        <v>15675</v>
      </c>
      <c r="T42" s="186">
        <f>15000*(1+InflacionAnual)^(YEAR(T$3)-AnioBase)</f>
        <v>15675</v>
      </c>
      <c r="U42" s="186">
        <f>15000*(1+InflacionAnual)^(YEAR(U$3)-AnioBase)</f>
        <v>15675</v>
      </c>
      <c r="V42" s="186">
        <f>15000*(1+InflacionAnual)^(YEAR(V$3)-AnioBase)</f>
        <v>15675</v>
      </c>
      <c r="W42" s="186">
        <f>15000*(1+InflacionAnual)^(YEAR(W$3)-AnioBase)</f>
        <v>15675</v>
      </c>
      <c r="X42" s="186">
        <f>15000*(1+InflacionAnual)^(YEAR(X$3)-AnioBase)</f>
        <v>15675</v>
      </c>
      <c r="Y42" s="186">
        <f>15000*(1+InflacionAnual)^(YEAR(Y$3)-AnioBase)</f>
        <v>15675</v>
      </c>
      <c r="Z42" s="186">
        <f>15000*(1+InflacionAnual)^(YEAR(Z$3)-AnioBase)</f>
        <v>15675</v>
      </c>
      <c r="AA42" s="186">
        <f>15000*(1+InflacionAnual)^(YEAR(AA$3)-AnioBase)</f>
        <v>15675</v>
      </c>
      <c r="AB42" s="186">
        <f>15000*(1+InflacionAnual)^(YEAR(AB$3)-AnioBase)</f>
        <v>16380.375</v>
      </c>
      <c r="AC42" s="186">
        <f>15000*(1+InflacionAnual)^(YEAR(AC$3)-AnioBase)</f>
        <v>16380.375</v>
      </c>
      <c r="AD42" s="186">
        <f>15000*(1+InflacionAnual)^(YEAR(AD$3)-AnioBase)</f>
        <v>16380.375</v>
      </c>
      <c r="AE42" s="186">
        <f>15000*(1+InflacionAnual)^(YEAR(AE$3)-AnioBase)</f>
        <v>16380.375</v>
      </c>
      <c r="AF42" s="186">
        <f>15000*(1+InflacionAnual)^(YEAR(AF$3)-AnioBase)</f>
        <v>16380.375</v>
      </c>
      <c r="AG42" s="186">
        <f>15000*(1+InflacionAnual)^(YEAR(AG$3)-AnioBase)</f>
        <v>16380.375</v>
      </c>
      <c r="AH42" s="186">
        <f>15000*(1+InflacionAnual)^(YEAR(AH$3)-AnioBase)</f>
        <v>16380.375</v>
      </c>
      <c r="AI42" s="186">
        <f>15000*(1+InflacionAnual)^(YEAR(AI$3)-AnioBase)</f>
        <v>16380.375</v>
      </c>
      <c r="AJ42" s="186">
        <f>15000*(1+InflacionAnual)^(YEAR(AJ$3)-AnioBase)</f>
        <v>16380.375</v>
      </c>
      <c r="AK42" s="186">
        <f>15000*(1+InflacionAnual)^(YEAR(AK$3)-AnioBase)</f>
        <v>16380.375</v>
      </c>
      <c r="AL42" s="186">
        <f>15000*(1+InflacionAnual)^(YEAR(AL$3)-AnioBase)</f>
        <v>16380.375</v>
      </c>
      <c r="AM42" s="186">
        <f>15000*(1+InflacionAnual)^(YEAR(AM$3)-AnioBase)</f>
        <v>16380.375</v>
      </c>
      <c r="AN42" s="186">
        <f>15000*(1+InflacionAnual)^(YEAR(AN$3)-AnioBase)</f>
        <v>17117.49188</v>
      </c>
      <c r="AO42" s="186">
        <f>15000*(1+InflacionAnual)^(YEAR(AO$3)-AnioBase)</f>
        <v>17117.49188</v>
      </c>
      <c r="AP42" s="186">
        <f>15000*(1+InflacionAnual)^(YEAR(AP$3)-AnioBase)</f>
        <v>17117.49188</v>
      </c>
      <c r="AQ42" s="186">
        <f>15000*(1+InflacionAnual)^(YEAR(AQ$3)-AnioBase)</f>
        <v>17117.49188</v>
      </c>
      <c r="AR42" s="186">
        <f>15000*(1+InflacionAnual)^(YEAR(AR$3)-AnioBase)</f>
        <v>17117.49188</v>
      </c>
      <c r="AS42" s="186">
        <f>15000*(1+InflacionAnual)^(YEAR(AS$3)-AnioBase)</f>
        <v>17117.49188</v>
      </c>
      <c r="AT42" s="186">
        <f>15000*(1+InflacionAnual)^(YEAR(AT$3)-AnioBase)</f>
        <v>17117.49188</v>
      </c>
      <c r="AU42" s="186">
        <f>15000*(1+InflacionAnual)^(YEAR(AU$3)-AnioBase)</f>
        <v>17117.49188</v>
      </c>
      <c r="AV42" s="186">
        <f>15000*(1+InflacionAnual)^(YEAR(AV$3)-AnioBase)</f>
        <v>17117.49188</v>
      </c>
      <c r="AW42" s="186">
        <f>15000*(1+InflacionAnual)^(YEAR(AW$3)-AnioBase)</f>
        <v>17117.49188</v>
      </c>
      <c r="AX42" s="186">
        <f>15000*(1+InflacionAnual)^(YEAR(AX$3)-AnioBase)</f>
        <v>17117.49188</v>
      </c>
      <c r="AY42" s="186">
        <f>15000*(1+InflacionAnual)^(YEAR(AY$3)-AnioBase)</f>
        <v>17117.49188</v>
      </c>
      <c r="AZ42" s="186">
        <f>15000*(1+InflacionAnual)^(YEAR(AZ$3)-AnioBase)</f>
        <v>17887.77901</v>
      </c>
      <c r="BA42" s="186">
        <f>15000*(1+InflacionAnual)^(YEAR(BA$3)-AnioBase)</f>
        <v>17887.77901</v>
      </c>
      <c r="BB42" s="186">
        <f>15000*(1+InflacionAnual)^(YEAR(BB$3)-AnioBase)</f>
        <v>17887.77901</v>
      </c>
      <c r="BC42" s="186">
        <f>15000*(1+InflacionAnual)^(YEAR(BC$3)-AnioBase)</f>
        <v>17887.77901</v>
      </c>
      <c r="BD42" s="186">
        <f>15000*(1+InflacionAnual)^(YEAR(BD$3)-AnioBase)</f>
        <v>17887.77901</v>
      </c>
      <c r="BE42" s="186">
        <f>15000*(1+InflacionAnual)^(YEAR(BE$3)-AnioBase)</f>
        <v>17887.77901</v>
      </c>
      <c r="BF42" s="186">
        <f>15000*(1+InflacionAnual)^(YEAR(BF$3)-AnioBase)</f>
        <v>17887.77901</v>
      </c>
      <c r="BG42" s="186">
        <f>15000*(1+InflacionAnual)^(YEAR(BG$3)-AnioBase)</f>
        <v>17887.77901</v>
      </c>
      <c r="BH42" s="186">
        <f>15000*(1+InflacionAnual)^(YEAR(BH$3)-AnioBase)</f>
        <v>17887.77901</v>
      </c>
      <c r="BI42" s="186">
        <f>15000*(1+InflacionAnual)^(YEAR(BI$3)-AnioBase)</f>
        <v>17887.77901</v>
      </c>
      <c r="BJ42" s="186">
        <f>15000*(1+InflacionAnual)^(YEAR(BJ$3)-AnioBase)</f>
        <v>17887.77901</v>
      </c>
      <c r="BK42" s="186">
        <f>15000*(1+InflacionAnual)^(YEAR(BK$3)-AnioBase)</f>
        <v>17887.77901</v>
      </c>
      <c r="BL42" s="186">
        <f t="shared" si="31"/>
        <v>984727.7506</v>
      </c>
      <c r="BM42" s="186">
        <f t="shared" si="32"/>
        <v>16412.12918</v>
      </c>
    </row>
    <row r="43" ht="22.5" customHeight="1" outlineLevel="1">
      <c r="A43" s="69"/>
      <c r="B43" s="70" t="s">
        <v>602</v>
      </c>
      <c r="C43" s="71"/>
      <c r="D43" s="72">
        <f t="shared" ref="D43:BK43" si="33">(SUM(D45:D49)) * D$5</f>
        <v>17970</v>
      </c>
      <c r="E43" s="72">
        <f t="shared" si="33"/>
        <v>17970</v>
      </c>
      <c r="F43" s="72">
        <f t="shared" si="33"/>
        <v>17970</v>
      </c>
      <c r="G43" s="72">
        <f t="shared" si="33"/>
        <v>17970</v>
      </c>
      <c r="H43" s="72">
        <f t="shared" si="33"/>
        <v>17970</v>
      </c>
      <c r="I43" s="72">
        <f t="shared" si="33"/>
        <v>17970</v>
      </c>
      <c r="J43" s="72">
        <f t="shared" si="33"/>
        <v>17970</v>
      </c>
      <c r="K43" s="72">
        <f t="shared" si="33"/>
        <v>17970</v>
      </c>
      <c r="L43" s="72">
        <f t="shared" si="33"/>
        <v>17970</v>
      </c>
      <c r="M43" s="72">
        <f t="shared" si="33"/>
        <v>17970</v>
      </c>
      <c r="N43" s="72">
        <f t="shared" si="33"/>
        <v>17970</v>
      </c>
      <c r="O43" s="72">
        <f t="shared" si="33"/>
        <v>17970</v>
      </c>
      <c r="P43" s="72">
        <f t="shared" si="33"/>
        <v>18726.9</v>
      </c>
      <c r="Q43" s="72">
        <f t="shared" si="33"/>
        <v>18726.9</v>
      </c>
      <c r="R43" s="72">
        <f t="shared" si="33"/>
        <v>18726.9</v>
      </c>
      <c r="S43" s="72">
        <f t="shared" si="33"/>
        <v>18726.9</v>
      </c>
      <c r="T43" s="72">
        <f t="shared" si="33"/>
        <v>18726.9</v>
      </c>
      <c r="U43" s="72">
        <f t="shared" si="33"/>
        <v>18726.9</v>
      </c>
      <c r="V43" s="72">
        <f t="shared" si="33"/>
        <v>18726.9</v>
      </c>
      <c r="W43" s="72">
        <f t="shared" si="33"/>
        <v>18726.9</v>
      </c>
      <c r="X43" s="72">
        <f t="shared" si="33"/>
        <v>18726.9</v>
      </c>
      <c r="Y43" s="72">
        <f t="shared" si="33"/>
        <v>18726.9</v>
      </c>
      <c r="Z43" s="72">
        <f t="shared" si="33"/>
        <v>18726.9</v>
      </c>
      <c r="AA43" s="72">
        <f t="shared" si="33"/>
        <v>18726.9</v>
      </c>
      <c r="AB43" s="72">
        <f t="shared" si="33"/>
        <v>19517.8605</v>
      </c>
      <c r="AC43" s="72">
        <f t="shared" si="33"/>
        <v>19517.8605</v>
      </c>
      <c r="AD43" s="72">
        <f t="shared" si="33"/>
        <v>19517.8605</v>
      </c>
      <c r="AE43" s="72">
        <f t="shared" si="33"/>
        <v>19517.8605</v>
      </c>
      <c r="AF43" s="72">
        <f t="shared" si="33"/>
        <v>19517.8605</v>
      </c>
      <c r="AG43" s="72">
        <f t="shared" si="33"/>
        <v>19517.8605</v>
      </c>
      <c r="AH43" s="72">
        <f t="shared" si="33"/>
        <v>19517.8605</v>
      </c>
      <c r="AI43" s="72">
        <f t="shared" si="33"/>
        <v>19517.8605</v>
      </c>
      <c r="AJ43" s="72">
        <f t="shared" si="33"/>
        <v>19517.8605</v>
      </c>
      <c r="AK43" s="72">
        <f t="shared" si="33"/>
        <v>19517.8605</v>
      </c>
      <c r="AL43" s="72">
        <f t="shared" si="33"/>
        <v>19517.8605</v>
      </c>
      <c r="AM43" s="72">
        <f t="shared" si="33"/>
        <v>19517.8605</v>
      </c>
      <c r="AN43" s="72">
        <f t="shared" si="33"/>
        <v>20344.41422</v>
      </c>
      <c r="AO43" s="72">
        <f t="shared" si="33"/>
        <v>20344.41422</v>
      </c>
      <c r="AP43" s="72">
        <f t="shared" si="33"/>
        <v>20344.41422</v>
      </c>
      <c r="AQ43" s="72">
        <f t="shared" si="33"/>
        <v>20344.41422</v>
      </c>
      <c r="AR43" s="72">
        <f t="shared" si="33"/>
        <v>20344.41422</v>
      </c>
      <c r="AS43" s="72">
        <f t="shared" si="33"/>
        <v>20344.41422</v>
      </c>
      <c r="AT43" s="72">
        <f t="shared" si="33"/>
        <v>20344.41422</v>
      </c>
      <c r="AU43" s="72">
        <f t="shared" si="33"/>
        <v>20344.41422</v>
      </c>
      <c r="AV43" s="72">
        <f t="shared" si="33"/>
        <v>20344.41422</v>
      </c>
      <c r="AW43" s="72">
        <f t="shared" si="33"/>
        <v>20344.41422</v>
      </c>
      <c r="AX43" s="72">
        <f t="shared" si="33"/>
        <v>20344.41422</v>
      </c>
      <c r="AY43" s="72">
        <f t="shared" si="33"/>
        <v>20344.41422</v>
      </c>
      <c r="AZ43" s="72">
        <f t="shared" si="33"/>
        <v>21208.16286</v>
      </c>
      <c r="BA43" s="72">
        <f t="shared" si="33"/>
        <v>21208.16286</v>
      </c>
      <c r="BB43" s="72">
        <f t="shared" si="33"/>
        <v>21208.16286</v>
      </c>
      <c r="BC43" s="72">
        <f t="shared" si="33"/>
        <v>21208.16286</v>
      </c>
      <c r="BD43" s="72">
        <f t="shared" si="33"/>
        <v>21208.16286</v>
      </c>
      <c r="BE43" s="72">
        <f t="shared" si="33"/>
        <v>21208.16286</v>
      </c>
      <c r="BF43" s="72">
        <f t="shared" si="33"/>
        <v>21208.16286</v>
      </c>
      <c r="BG43" s="72">
        <f t="shared" si="33"/>
        <v>21208.16286</v>
      </c>
      <c r="BH43" s="72">
        <f t="shared" si="33"/>
        <v>21208.16286</v>
      </c>
      <c r="BI43" s="72">
        <f t="shared" si="33"/>
        <v>21208.16286</v>
      </c>
      <c r="BJ43" s="72">
        <f t="shared" si="33"/>
        <v>21208.16286</v>
      </c>
      <c r="BK43" s="72">
        <f t="shared" si="33"/>
        <v>21208.16286</v>
      </c>
      <c r="BL43" s="72">
        <f t="shared" si="31"/>
        <v>1173208.051</v>
      </c>
      <c r="BM43" s="72">
        <f t="shared" si="32"/>
        <v>19553.46752</v>
      </c>
    </row>
    <row r="44" ht="22.5" customHeight="1" outlineLevel="2">
      <c r="A44" s="199"/>
      <c r="B44" s="200" t="s">
        <v>552</v>
      </c>
      <c r="C44" s="201"/>
      <c r="D44" s="181">
        <f t="shared" ref="D44:BK44" si="34">IFERROR(D43/D$19,"")</f>
        <v>0.0531934937</v>
      </c>
      <c r="E44" s="181">
        <f t="shared" si="34"/>
        <v>0.05148679748</v>
      </c>
      <c r="F44" s="181">
        <f t="shared" si="34"/>
        <v>0.0508500509</v>
      </c>
      <c r="G44" s="181">
        <f t="shared" si="34"/>
        <v>0.05290693201</v>
      </c>
      <c r="H44" s="181">
        <f t="shared" si="34"/>
        <v>0.05205332615</v>
      </c>
      <c r="I44" s="181">
        <f t="shared" si="34"/>
        <v>0.05218991878</v>
      </c>
      <c r="J44" s="181">
        <f t="shared" si="34"/>
        <v>0.05024427913</v>
      </c>
      <c r="K44" s="181">
        <f t="shared" si="34"/>
        <v>0.05052771429</v>
      </c>
      <c r="L44" s="181">
        <f t="shared" si="34"/>
        <v>0.05664834521</v>
      </c>
      <c r="M44" s="181">
        <f t="shared" si="34"/>
        <v>0.05836935886</v>
      </c>
      <c r="N44" s="181">
        <f t="shared" si="34"/>
        <v>0.05062781549</v>
      </c>
      <c r="O44" s="181">
        <f t="shared" si="34"/>
        <v>0.05421898127</v>
      </c>
      <c r="P44" s="181">
        <f t="shared" si="34"/>
        <v>0.05727620871</v>
      </c>
      <c r="Q44" s="181">
        <f t="shared" si="34"/>
        <v>0.05541774701</v>
      </c>
      <c r="R44" s="181">
        <f t="shared" si="34"/>
        <v>0.05472332975</v>
      </c>
      <c r="S44" s="181">
        <f t="shared" si="34"/>
        <v>0.05695590492</v>
      </c>
      <c r="T44" s="181">
        <f t="shared" si="34"/>
        <v>0.05602527979</v>
      </c>
      <c r="U44" s="181">
        <f t="shared" si="34"/>
        <v>0.05617086626</v>
      </c>
      <c r="V44" s="181">
        <f t="shared" si="34"/>
        <v>0.05405483888</v>
      </c>
      <c r="W44" s="181">
        <f t="shared" si="34"/>
        <v>0.05435995575</v>
      </c>
      <c r="X44" s="181">
        <f t="shared" si="34"/>
        <v>0.06100974953</v>
      </c>
      <c r="Y44" s="181">
        <f t="shared" si="34"/>
        <v>0.06287957513</v>
      </c>
      <c r="Z44" s="181">
        <f t="shared" si="34"/>
        <v>0.05446084606</v>
      </c>
      <c r="AA44" s="181">
        <f t="shared" si="34"/>
        <v>0.05835872248</v>
      </c>
      <c r="AB44" s="181">
        <f t="shared" si="34"/>
        <v>0.06166127854</v>
      </c>
      <c r="AC44" s="181">
        <f t="shared" si="34"/>
        <v>0.05963861639</v>
      </c>
      <c r="AD44" s="181">
        <f t="shared" si="34"/>
        <v>0.05888176129</v>
      </c>
      <c r="AE44" s="181">
        <f t="shared" si="34"/>
        <v>0.06130405348</v>
      </c>
      <c r="AF44" s="181">
        <f t="shared" si="34"/>
        <v>0.06029004924</v>
      </c>
      <c r="AG44" s="181">
        <f t="shared" si="34"/>
        <v>0.06044521128</v>
      </c>
      <c r="AH44" s="181">
        <f t="shared" si="34"/>
        <v>0.05814500758</v>
      </c>
      <c r="AI44" s="181">
        <f t="shared" si="34"/>
        <v>0.05847340741</v>
      </c>
      <c r="AJ44" s="181">
        <f t="shared" si="34"/>
        <v>0.06569494279</v>
      </c>
      <c r="AK44" s="181">
        <f t="shared" si="34"/>
        <v>0.0677256006</v>
      </c>
      <c r="AL44" s="181">
        <f t="shared" si="34"/>
        <v>0.05857476896</v>
      </c>
      <c r="AM44" s="181">
        <f t="shared" si="34"/>
        <v>0.06280379358</v>
      </c>
      <c r="AN44" s="181">
        <f t="shared" si="34"/>
        <v>0.06637032151</v>
      </c>
      <c r="AO44" s="181">
        <f t="shared" si="34"/>
        <v>0.0624496117</v>
      </c>
      <c r="AP44" s="181">
        <f t="shared" si="34"/>
        <v>0.06335640113</v>
      </c>
      <c r="AQ44" s="181">
        <f t="shared" si="34"/>
        <v>0.06598392406</v>
      </c>
      <c r="AR44" s="181">
        <f t="shared" si="34"/>
        <v>0.06487951107</v>
      </c>
      <c r="AS44" s="181">
        <f t="shared" si="34"/>
        <v>0.06504489651</v>
      </c>
      <c r="AT44" s="181">
        <f t="shared" si="34"/>
        <v>0.06254527002</v>
      </c>
      <c r="AU44" s="181">
        <f t="shared" si="34"/>
        <v>0.06289872827</v>
      </c>
      <c r="AV44" s="181">
        <f t="shared" si="34"/>
        <v>0.07073910165</v>
      </c>
      <c r="AW44" s="181">
        <f t="shared" si="34"/>
        <v>0.07294388998</v>
      </c>
      <c r="AX44" s="181">
        <f t="shared" si="34"/>
        <v>0.06300022249</v>
      </c>
      <c r="AY44" s="181">
        <f t="shared" si="34"/>
        <v>0.06758742861</v>
      </c>
      <c r="AZ44" s="181">
        <f t="shared" si="34"/>
        <v>0.0714385733</v>
      </c>
      <c r="BA44" s="181">
        <f t="shared" si="34"/>
        <v>0.06904597132</v>
      </c>
      <c r="BB44" s="181">
        <f t="shared" si="34"/>
        <v>0.06814831457</v>
      </c>
      <c r="BC44" s="181">
        <f t="shared" si="34"/>
        <v>0.07099684789</v>
      </c>
      <c r="BD44" s="181">
        <f t="shared" si="34"/>
        <v>0.06979483751</v>
      </c>
      <c r="BE44" s="181">
        <f t="shared" si="34"/>
        <v>0.06997108055</v>
      </c>
      <c r="BF44" s="181">
        <f t="shared" si="34"/>
        <v>0.06725648848</v>
      </c>
      <c r="BG44" s="181">
        <f t="shared" si="34"/>
        <v>0.0676367876</v>
      </c>
      <c r="BH44" s="181">
        <f t="shared" si="34"/>
        <v>0.07614396469</v>
      </c>
      <c r="BI44" s="181">
        <f t="shared" si="34"/>
        <v>0.07853643466</v>
      </c>
      <c r="BJ44" s="181">
        <f t="shared" si="34"/>
        <v>0.06773800054</v>
      </c>
      <c r="BK44" s="181">
        <f t="shared" si="34"/>
        <v>0.07271087823</v>
      </c>
      <c r="BL44" s="181">
        <f>AVERAGE(D44:BK44)</f>
        <v>0.06143110025</v>
      </c>
    </row>
    <row r="45" ht="22.5" customHeight="1" outlineLevel="2">
      <c r="A45" s="69"/>
      <c r="B45" s="184"/>
      <c r="C45" s="185" t="s">
        <v>603</v>
      </c>
      <c r="D45" s="186">
        <f>7540*(1+InflacionAnual)^(YEAR(D$3)-AnioBase)</f>
        <v>7540</v>
      </c>
      <c r="E45" s="186">
        <f>7540*(1+InflacionAnual)^(YEAR(E$3)-AnioBase)</f>
        <v>7540</v>
      </c>
      <c r="F45" s="186">
        <f>7540*(1+InflacionAnual)^(YEAR(F$3)-AnioBase)</f>
        <v>7540</v>
      </c>
      <c r="G45" s="186">
        <f>7540*(1+InflacionAnual)^(YEAR(G$3)-AnioBase)</f>
        <v>7540</v>
      </c>
      <c r="H45" s="186">
        <f>7540*(1+InflacionAnual)^(YEAR(H$3)-AnioBase)</f>
        <v>7540</v>
      </c>
      <c r="I45" s="186">
        <f>7540*(1+InflacionAnual)^(YEAR(I$3)-AnioBase)</f>
        <v>7540</v>
      </c>
      <c r="J45" s="186">
        <f>7540*(1+InflacionAnual)^(YEAR(J$3)-AnioBase)</f>
        <v>7540</v>
      </c>
      <c r="K45" s="186">
        <f>7540*(1+InflacionAnual)^(YEAR(K$3)-AnioBase)</f>
        <v>7540</v>
      </c>
      <c r="L45" s="186">
        <f>7540*(1+InflacionAnual)^(YEAR(L$3)-AnioBase)</f>
        <v>7540</v>
      </c>
      <c r="M45" s="186">
        <f>7540*(1+InflacionAnual)^(YEAR(M$3)-AnioBase)</f>
        <v>7540</v>
      </c>
      <c r="N45" s="186">
        <f>7540*(1+InflacionAnual)^(YEAR(N$3)-AnioBase)</f>
        <v>7540</v>
      </c>
      <c r="O45" s="186">
        <f>7540*(1+InflacionAnual)^(YEAR(O$3)-AnioBase)</f>
        <v>7540</v>
      </c>
      <c r="P45" s="186">
        <f>7540*(1+InflacionAnual)^(YEAR(P$3)-AnioBase)</f>
        <v>7879.3</v>
      </c>
      <c r="Q45" s="186">
        <f>7540*(1+InflacionAnual)^(YEAR(Q$3)-AnioBase)</f>
        <v>7879.3</v>
      </c>
      <c r="R45" s="186">
        <f>7540*(1+InflacionAnual)^(YEAR(R$3)-AnioBase)</f>
        <v>7879.3</v>
      </c>
      <c r="S45" s="186">
        <f>7540*(1+InflacionAnual)^(YEAR(S$3)-AnioBase)</f>
        <v>7879.3</v>
      </c>
      <c r="T45" s="186">
        <f>7540*(1+InflacionAnual)^(YEAR(T$3)-AnioBase)</f>
        <v>7879.3</v>
      </c>
      <c r="U45" s="186">
        <f>7540*(1+InflacionAnual)^(YEAR(U$3)-AnioBase)</f>
        <v>7879.3</v>
      </c>
      <c r="V45" s="186">
        <f>7540*(1+InflacionAnual)^(YEAR(V$3)-AnioBase)</f>
        <v>7879.3</v>
      </c>
      <c r="W45" s="186">
        <f>7540*(1+InflacionAnual)^(YEAR(W$3)-AnioBase)</f>
        <v>7879.3</v>
      </c>
      <c r="X45" s="186">
        <f>7540*(1+InflacionAnual)^(YEAR(X$3)-AnioBase)</f>
        <v>7879.3</v>
      </c>
      <c r="Y45" s="186">
        <f>7540*(1+InflacionAnual)^(YEAR(Y$3)-AnioBase)</f>
        <v>7879.3</v>
      </c>
      <c r="Z45" s="186">
        <f>7540*(1+InflacionAnual)^(YEAR(Z$3)-AnioBase)</f>
        <v>7879.3</v>
      </c>
      <c r="AA45" s="186">
        <f>7540*(1+InflacionAnual)^(YEAR(AA$3)-AnioBase)</f>
        <v>7879.3</v>
      </c>
      <c r="AB45" s="186">
        <f>7540*(1+InflacionAnual)^(YEAR(AB$3)-AnioBase)</f>
        <v>8233.8685</v>
      </c>
      <c r="AC45" s="186">
        <f>7540*(1+InflacionAnual)^(YEAR(AC$3)-AnioBase)</f>
        <v>8233.8685</v>
      </c>
      <c r="AD45" s="186">
        <f>7540*(1+InflacionAnual)^(YEAR(AD$3)-AnioBase)</f>
        <v>8233.8685</v>
      </c>
      <c r="AE45" s="186">
        <f>7540*(1+InflacionAnual)^(YEAR(AE$3)-AnioBase)</f>
        <v>8233.8685</v>
      </c>
      <c r="AF45" s="186">
        <f>7540*(1+InflacionAnual)^(YEAR(AF$3)-AnioBase)</f>
        <v>8233.8685</v>
      </c>
      <c r="AG45" s="186">
        <f>7540*(1+InflacionAnual)^(YEAR(AG$3)-AnioBase)</f>
        <v>8233.8685</v>
      </c>
      <c r="AH45" s="186">
        <f>7540*(1+InflacionAnual)^(YEAR(AH$3)-AnioBase)</f>
        <v>8233.8685</v>
      </c>
      <c r="AI45" s="186">
        <f>7540*(1+InflacionAnual)^(YEAR(AI$3)-AnioBase)</f>
        <v>8233.8685</v>
      </c>
      <c r="AJ45" s="186">
        <f>7540*(1+InflacionAnual)^(YEAR(AJ$3)-AnioBase)</f>
        <v>8233.8685</v>
      </c>
      <c r="AK45" s="186">
        <f>7540*(1+InflacionAnual)^(YEAR(AK$3)-AnioBase)</f>
        <v>8233.8685</v>
      </c>
      <c r="AL45" s="186">
        <f>7540*(1+InflacionAnual)^(YEAR(AL$3)-AnioBase)</f>
        <v>8233.8685</v>
      </c>
      <c r="AM45" s="186">
        <f>7540*(1+InflacionAnual)^(YEAR(AM$3)-AnioBase)</f>
        <v>8233.8685</v>
      </c>
      <c r="AN45" s="186">
        <f>7540*(1+InflacionAnual)^(YEAR(AN$3)-AnioBase)</f>
        <v>8604.392583</v>
      </c>
      <c r="AO45" s="186">
        <f>7540*(1+InflacionAnual)^(YEAR(AO$3)-AnioBase)</f>
        <v>8604.392583</v>
      </c>
      <c r="AP45" s="186">
        <f>7540*(1+InflacionAnual)^(YEAR(AP$3)-AnioBase)</f>
        <v>8604.392583</v>
      </c>
      <c r="AQ45" s="186">
        <f>7540*(1+InflacionAnual)^(YEAR(AQ$3)-AnioBase)</f>
        <v>8604.392583</v>
      </c>
      <c r="AR45" s="186">
        <f>7540*(1+InflacionAnual)^(YEAR(AR$3)-AnioBase)</f>
        <v>8604.392583</v>
      </c>
      <c r="AS45" s="186">
        <f>7540*(1+InflacionAnual)^(YEAR(AS$3)-AnioBase)</f>
        <v>8604.392583</v>
      </c>
      <c r="AT45" s="186">
        <f>7540*(1+InflacionAnual)^(YEAR(AT$3)-AnioBase)</f>
        <v>8604.392583</v>
      </c>
      <c r="AU45" s="186">
        <f>7540*(1+InflacionAnual)^(YEAR(AU$3)-AnioBase)</f>
        <v>8604.392583</v>
      </c>
      <c r="AV45" s="186">
        <f>7540*(1+InflacionAnual)^(YEAR(AV$3)-AnioBase)</f>
        <v>8604.392583</v>
      </c>
      <c r="AW45" s="186">
        <f>7540*(1+InflacionAnual)^(YEAR(AW$3)-AnioBase)</f>
        <v>8604.392583</v>
      </c>
      <c r="AX45" s="186">
        <f>7540*(1+InflacionAnual)^(YEAR(AX$3)-AnioBase)</f>
        <v>8604.392583</v>
      </c>
      <c r="AY45" s="186">
        <f>7540*(1+InflacionAnual)^(YEAR(AY$3)-AnioBase)</f>
        <v>8604.392583</v>
      </c>
      <c r="AZ45" s="186">
        <f>7540*(1+InflacionAnual)^(YEAR(AZ$3)-AnioBase)</f>
        <v>8991.590249</v>
      </c>
      <c r="BA45" s="186">
        <f>7540*(1+InflacionAnual)^(YEAR(BA$3)-AnioBase)</f>
        <v>8991.590249</v>
      </c>
      <c r="BB45" s="186">
        <f>7540*(1+InflacionAnual)^(YEAR(BB$3)-AnioBase)</f>
        <v>8991.590249</v>
      </c>
      <c r="BC45" s="186">
        <f>7540*(1+InflacionAnual)^(YEAR(BC$3)-AnioBase)</f>
        <v>8991.590249</v>
      </c>
      <c r="BD45" s="186">
        <f>7540*(1+InflacionAnual)^(YEAR(BD$3)-AnioBase)</f>
        <v>8991.590249</v>
      </c>
      <c r="BE45" s="186">
        <f>7540*(1+InflacionAnual)^(YEAR(BE$3)-AnioBase)</f>
        <v>8991.590249</v>
      </c>
      <c r="BF45" s="186">
        <f>7540*(1+InflacionAnual)^(YEAR(BF$3)-AnioBase)</f>
        <v>8991.590249</v>
      </c>
      <c r="BG45" s="186">
        <f>7540*(1+InflacionAnual)^(YEAR(BG$3)-AnioBase)</f>
        <v>8991.590249</v>
      </c>
      <c r="BH45" s="186">
        <f>7540*(1+InflacionAnual)^(YEAR(BH$3)-AnioBase)</f>
        <v>8991.590249</v>
      </c>
      <c r="BI45" s="186">
        <f>7540*(1+InflacionAnual)^(YEAR(BI$3)-AnioBase)</f>
        <v>8991.590249</v>
      </c>
      <c r="BJ45" s="186">
        <f>7540*(1+InflacionAnual)^(YEAR(BJ$3)-AnioBase)</f>
        <v>8991.590249</v>
      </c>
      <c r="BK45" s="186">
        <f>7540*(1+InflacionAnual)^(YEAR(BK$3)-AnioBase)</f>
        <v>8991.590249</v>
      </c>
      <c r="BL45" s="186">
        <f t="shared" ref="BL45:BL50" si="35">SUM(D45:BK45)</f>
        <v>494989.816</v>
      </c>
      <c r="BM45" s="186">
        <f t="shared" ref="BM45:BM50" si="36">AVERAGE(D45:BK45)</f>
        <v>8249.830266</v>
      </c>
    </row>
    <row r="46" ht="22.5" customHeight="1" outlineLevel="2">
      <c r="A46" s="69"/>
      <c r="B46" s="184"/>
      <c r="C46" s="185" t="s">
        <v>609</v>
      </c>
      <c r="D46" s="186">
        <f>3480*(1+InflacionAnual)^(YEAR(D$3)-AnioBase)</f>
        <v>3480</v>
      </c>
      <c r="E46" s="186">
        <f>3480*(1+InflacionAnual)^(YEAR(E$3)-AnioBase)</f>
        <v>3480</v>
      </c>
      <c r="F46" s="186">
        <f>3480*(1+InflacionAnual)^(YEAR(F$3)-AnioBase)</f>
        <v>3480</v>
      </c>
      <c r="G46" s="186">
        <f>3480*(1+InflacionAnual)^(YEAR(G$3)-AnioBase)</f>
        <v>3480</v>
      </c>
      <c r="H46" s="186">
        <f>3480*(1+InflacionAnual)^(YEAR(H$3)-AnioBase)</f>
        <v>3480</v>
      </c>
      <c r="I46" s="186">
        <f>3480*(1+InflacionAnual)^(YEAR(I$3)-AnioBase)</f>
        <v>3480</v>
      </c>
      <c r="J46" s="186">
        <f>3480*(1+InflacionAnual)^(YEAR(J$3)-AnioBase)</f>
        <v>3480</v>
      </c>
      <c r="K46" s="186">
        <f>3480*(1+InflacionAnual)^(YEAR(K$3)-AnioBase)</f>
        <v>3480</v>
      </c>
      <c r="L46" s="186">
        <f>3480*(1+InflacionAnual)^(YEAR(L$3)-AnioBase)</f>
        <v>3480</v>
      </c>
      <c r="M46" s="186">
        <f>3480*(1+InflacionAnual)^(YEAR(M$3)-AnioBase)</f>
        <v>3480</v>
      </c>
      <c r="N46" s="186">
        <f>3480*(1+InflacionAnual)^(YEAR(N$3)-AnioBase)</f>
        <v>3480</v>
      </c>
      <c r="O46" s="186">
        <f>3480*(1+InflacionAnual)^(YEAR(O$3)-AnioBase)</f>
        <v>3480</v>
      </c>
      <c r="P46" s="186">
        <f>3480*(1+InflacionAnual)^(YEAR(P$3)-AnioBase)</f>
        <v>3636.6</v>
      </c>
      <c r="Q46" s="186">
        <f>3480*(1+InflacionAnual)^(YEAR(Q$3)-AnioBase)</f>
        <v>3636.6</v>
      </c>
      <c r="R46" s="186">
        <f>3480*(1+InflacionAnual)^(YEAR(R$3)-AnioBase)</f>
        <v>3636.6</v>
      </c>
      <c r="S46" s="186">
        <f>3480*(1+InflacionAnual)^(YEAR(S$3)-AnioBase)</f>
        <v>3636.6</v>
      </c>
      <c r="T46" s="186">
        <f>3480*(1+InflacionAnual)^(YEAR(T$3)-AnioBase)</f>
        <v>3636.6</v>
      </c>
      <c r="U46" s="186">
        <f>3480*(1+InflacionAnual)^(YEAR(U$3)-AnioBase)</f>
        <v>3636.6</v>
      </c>
      <c r="V46" s="186">
        <f>3480*(1+InflacionAnual)^(YEAR(V$3)-AnioBase)</f>
        <v>3636.6</v>
      </c>
      <c r="W46" s="186">
        <f>3480*(1+InflacionAnual)^(YEAR(W$3)-AnioBase)</f>
        <v>3636.6</v>
      </c>
      <c r="X46" s="186">
        <f>3480*(1+InflacionAnual)^(YEAR(X$3)-AnioBase)</f>
        <v>3636.6</v>
      </c>
      <c r="Y46" s="186">
        <f>3480*(1+InflacionAnual)^(YEAR(Y$3)-AnioBase)</f>
        <v>3636.6</v>
      </c>
      <c r="Z46" s="186">
        <f>3480*(1+InflacionAnual)^(YEAR(Z$3)-AnioBase)</f>
        <v>3636.6</v>
      </c>
      <c r="AA46" s="186">
        <f>3480*(1+InflacionAnual)^(YEAR(AA$3)-AnioBase)</f>
        <v>3636.6</v>
      </c>
      <c r="AB46" s="186">
        <f>3480*(1+InflacionAnual)^(YEAR(AB$3)-AnioBase)</f>
        <v>3800.247</v>
      </c>
      <c r="AC46" s="186">
        <f>3480*(1+InflacionAnual)^(YEAR(AC$3)-AnioBase)</f>
        <v>3800.247</v>
      </c>
      <c r="AD46" s="186">
        <f>3480*(1+InflacionAnual)^(YEAR(AD$3)-AnioBase)</f>
        <v>3800.247</v>
      </c>
      <c r="AE46" s="186">
        <f>3480*(1+InflacionAnual)^(YEAR(AE$3)-AnioBase)</f>
        <v>3800.247</v>
      </c>
      <c r="AF46" s="186">
        <f>3480*(1+InflacionAnual)^(YEAR(AF$3)-AnioBase)</f>
        <v>3800.247</v>
      </c>
      <c r="AG46" s="186">
        <f>3480*(1+InflacionAnual)^(YEAR(AG$3)-AnioBase)</f>
        <v>3800.247</v>
      </c>
      <c r="AH46" s="186">
        <f>3480*(1+InflacionAnual)^(YEAR(AH$3)-AnioBase)</f>
        <v>3800.247</v>
      </c>
      <c r="AI46" s="186">
        <f>3480*(1+InflacionAnual)^(YEAR(AI$3)-AnioBase)</f>
        <v>3800.247</v>
      </c>
      <c r="AJ46" s="186">
        <f>3480*(1+InflacionAnual)^(YEAR(AJ$3)-AnioBase)</f>
        <v>3800.247</v>
      </c>
      <c r="AK46" s="186">
        <f>3480*(1+InflacionAnual)^(YEAR(AK$3)-AnioBase)</f>
        <v>3800.247</v>
      </c>
      <c r="AL46" s="186">
        <f>3480*(1+InflacionAnual)^(YEAR(AL$3)-AnioBase)</f>
        <v>3800.247</v>
      </c>
      <c r="AM46" s="186">
        <f>3480*(1+InflacionAnual)^(YEAR(AM$3)-AnioBase)</f>
        <v>3800.247</v>
      </c>
      <c r="AN46" s="186">
        <f>3480*(1+InflacionAnual)^(YEAR(AN$3)-AnioBase)</f>
        <v>3971.258115</v>
      </c>
      <c r="AO46" s="186">
        <f>3480*(1+InflacionAnual)^(YEAR(AO$3)-AnioBase)</f>
        <v>3971.258115</v>
      </c>
      <c r="AP46" s="186">
        <f>3480*(1+InflacionAnual)^(YEAR(AP$3)-AnioBase)</f>
        <v>3971.258115</v>
      </c>
      <c r="AQ46" s="186">
        <f>3480*(1+InflacionAnual)^(YEAR(AQ$3)-AnioBase)</f>
        <v>3971.258115</v>
      </c>
      <c r="AR46" s="186">
        <f>3480*(1+InflacionAnual)^(YEAR(AR$3)-AnioBase)</f>
        <v>3971.258115</v>
      </c>
      <c r="AS46" s="186">
        <f>3480*(1+InflacionAnual)^(YEAR(AS$3)-AnioBase)</f>
        <v>3971.258115</v>
      </c>
      <c r="AT46" s="186">
        <f>3480*(1+InflacionAnual)^(YEAR(AT$3)-AnioBase)</f>
        <v>3971.258115</v>
      </c>
      <c r="AU46" s="186">
        <f>3480*(1+InflacionAnual)^(YEAR(AU$3)-AnioBase)</f>
        <v>3971.258115</v>
      </c>
      <c r="AV46" s="186">
        <f>3480*(1+InflacionAnual)^(YEAR(AV$3)-AnioBase)</f>
        <v>3971.258115</v>
      </c>
      <c r="AW46" s="186">
        <f>3480*(1+InflacionAnual)^(YEAR(AW$3)-AnioBase)</f>
        <v>3971.258115</v>
      </c>
      <c r="AX46" s="186">
        <f>3480*(1+InflacionAnual)^(YEAR(AX$3)-AnioBase)</f>
        <v>3971.258115</v>
      </c>
      <c r="AY46" s="186">
        <f>3480*(1+InflacionAnual)^(YEAR(AY$3)-AnioBase)</f>
        <v>3971.258115</v>
      </c>
      <c r="AZ46" s="186">
        <f>3480*(1+InflacionAnual)^(YEAR(AZ$3)-AnioBase)</f>
        <v>4149.96473</v>
      </c>
      <c r="BA46" s="186">
        <f>3480*(1+InflacionAnual)^(YEAR(BA$3)-AnioBase)</f>
        <v>4149.96473</v>
      </c>
      <c r="BB46" s="186">
        <f>3480*(1+InflacionAnual)^(YEAR(BB$3)-AnioBase)</f>
        <v>4149.96473</v>
      </c>
      <c r="BC46" s="186">
        <f>3480*(1+InflacionAnual)^(YEAR(BC$3)-AnioBase)</f>
        <v>4149.96473</v>
      </c>
      <c r="BD46" s="186">
        <f>3480*(1+InflacionAnual)^(YEAR(BD$3)-AnioBase)</f>
        <v>4149.96473</v>
      </c>
      <c r="BE46" s="186">
        <f>3480*(1+InflacionAnual)^(YEAR(BE$3)-AnioBase)</f>
        <v>4149.96473</v>
      </c>
      <c r="BF46" s="186">
        <f>3480*(1+InflacionAnual)^(YEAR(BF$3)-AnioBase)</f>
        <v>4149.96473</v>
      </c>
      <c r="BG46" s="186">
        <f>3480*(1+InflacionAnual)^(YEAR(BG$3)-AnioBase)</f>
        <v>4149.96473</v>
      </c>
      <c r="BH46" s="186">
        <f>3480*(1+InflacionAnual)^(YEAR(BH$3)-AnioBase)</f>
        <v>4149.96473</v>
      </c>
      <c r="BI46" s="186">
        <f>3480*(1+InflacionAnual)^(YEAR(BI$3)-AnioBase)</f>
        <v>4149.96473</v>
      </c>
      <c r="BJ46" s="186">
        <f>3480*(1+InflacionAnual)^(YEAR(BJ$3)-AnioBase)</f>
        <v>4149.96473</v>
      </c>
      <c r="BK46" s="186">
        <f>3480*(1+InflacionAnual)^(YEAR(BK$3)-AnioBase)</f>
        <v>4149.96473</v>
      </c>
      <c r="BL46" s="186">
        <f t="shared" si="35"/>
        <v>228456.8381</v>
      </c>
      <c r="BM46" s="186">
        <f t="shared" si="36"/>
        <v>3807.613969</v>
      </c>
    </row>
    <row r="47" ht="22.5" customHeight="1" outlineLevel="2">
      <c r="A47" s="69"/>
      <c r="B47" s="184"/>
      <c r="C47" s="185" t="s">
        <v>615</v>
      </c>
      <c r="D47" s="186">
        <f>5800*(1+InflacionAnual)^(YEAR(D$3)-AnioBase)</f>
        <v>5800</v>
      </c>
      <c r="E47" s="186">
        <f>5800*(1+InflacionAnual)^(YEAR(E$3)-AnioBase)</f>
        <v>5800</v>
      </c>
      <c r="F47" s="186">
        <f>5800*(1+InflacionAnual)^(YEAR(F$3)-AnioBase)</f>
        <v>5800</v>
      </c>
      <c r="G47" s="186">
        <f>5800*(1+InflacionAnual)^(YEAR(G$3)-AnioBase)</f>
        <v>5800</v>
      </c>
      <c r="H47" s="186">
        <f>5800*(1+InflacionAnual)^(YEAR(H$3)-AnioBase)</f>
        <v>5800</v>
      </c>
      <c r="I47" s="186">
        <f>5800*(1+InflacionAnual)^(YEAR(I$3)-AnioBase)</f>
        <v>5800</v>
      </c>
      <c r="J47" s="186">
        <f>5800*(1+InflacionAnual)^(YEAR(J$3)-AnioBase)</f>
        <v>5800</v>
      </c>
      <c r="K47" s="186">
        <f>5800*(1+InflacionAnual)^(YEAR(K$3)-AnioBase)</f>
        <v>5800</v>
      </c>
      <c r="L47" s="186">
        <f>5800*(1+InflacionAnual)^(YEAR(L$3)-AnioBase)</f>
        <v>5800</v>
      </c>
      <c r="M47" s="186">
        <f>5800*(1+InflacionAnual)^(YEAR(M$3)-AnioBase)</f>
        <v>5800</v>
      </c>
      <c r="N47" s="186">
        <f>5800*(1+InflacionAnual)^(YEAR(N$3)-AnioBase)</f>
        <v>5800</v>
      </c>
      <c r="O47" s="186">
        <f>5800*(1+InflacionAnual)^(YEAR(O$3)-AnioBase)</f>
        <v>5800</v>
      </c>
      <c r="P47" s="186">
        <f>5800*(1+InflacionAnual)^(YEAR(P$3)-AnioBase)</f>
        <v>6061</v>
      </c>
      <c r="Q47" s="186">
        <f>5800*(1+InflacionAnual)^(YEAR(Q$3)-AnioBase)</f>
        <v>6061</v>
      </c>
      <c r="R47" s="186">
        <f>5800*(1+InflacionAnual)^(YEAR(R$3)-AnioBase)</f>
        <v>6061</v>
      </c>
      <c r="S47" s="186">
        <f>5800*(1+InflacionAnual)^(YEAR(S$3)-AnioBase)</f>
        <v>6061</v>
      </c>
      <c r="T47" s="186">
        <f>5800*(1+InflacionAnual)^(YEAR(T$3)-AnioBase)</f>
        <v>6061</v>
      </c>
      <c r="U47" s="186">
        <f>5800*(1+InflacionAnual)^(YEAR(U$3)-AnioBase)</f>
        <v>6061</v>
      </c>
      <c r="V47" s="186">
        <f>5800*(1+InflacionAnual)^(YEAR(V$3)-AnioBase)</f>
        <v>6061</v>
      </c>
      <c r="W47" s="186">
        <f>5800*(1+InflacionAnual)^(YEAR(W$3)-AnioBase)</f>
        <v>6061</v>
      </c>
      <c r="X47" s="186">
        <f>5800*(1+InflacionAnual)^(YEAR(X$3)-AnioBase)</f>
        <v>6061</v>
      </c>
      <c r="Y47" s="186">
        <f>5800*(1+InflacionAnual)^(YEAR(Y$3)-AnioBase)</f>
        <v>6061</v>
      </c>
      <c r="Z47" s="186">
        <f>5800*(1+InflacionAnual)^(YEAR(Z$3)-AnioBase)</f>
        <v>6061</v>
      </c>
      <c r="AA47" s="186">
        <f>5800*(1+InflacionAnual)^(YEAR(AA$3)-AnioBase)</f>
        <v>6061</v>
      </c>
      <c r="AB47" s="186">
        <f>5800*(1+InflacionAnual)^(YEAR(AB$3)-AnioBase)</f>
        <v>6333.745</v>
      </c>
      <c r="AC47" s="186">
        <f>5800*(1+InflacionAnual)^(YEAR(AC$3)-AnioBase)</f>
        <v>6333.745</v>
      </c>
      <c r="AD47" s="186">
        <f>5800*(1+InflacionAnual)^(YEAR(AD$3)-AnioBase)</f>
        <v>6333.745</v>
      </c>
      <c r="AE47" s="186">
        <f>5800*(1+InflacionAnual)^(YEAR(AE$3)-AnioBase)</f>
        <v>6333.745</v>
      </c>
      <c r="AF47" s="186">
        <f>5800*(1+InflacionAnual)^(YEAR(AF$3)-AnioBase)</f>
        <v>6333.745</v>
      </c>
      <c r="AG47" s="186">
        <f>5800*(1+InflacionAnual)^(YEAR(AG$3)-AnioBase)</f>
        <v>6333.745</v>
      </c>
      <c r="AH47" s="186">
        <f>5800*(1+InflacionAnual)^(YEAR(AH$3)-AnioBase)</f>
        <v>6333.745</v>
      </c>
      <c r="AI47" s="186">
        <f>5800*(1+InflacionAnual)^(YEAR(AI$3)-AnioBase)</f>
        <v>6333.745</v>
      </c>
      <c r="AJ47" s="186">
        <f>5800*(1+InflacionAnual)^(YEAR(AJ$3)-AnioBase)</f>
        <v>6333.745</v>
      </c>
      <c r="AK47" s="186">
        <f>5800*(1+InflacionAnual)^(YEAR(AK$3)-AnioBase)</f>
        <v>6333.745</v>
      </c>
      <c r="AL47" s="186">
        <f>5800*(1+InflacionAnual)^(YEAR(AL$3)-AnioBase)</f>
        <v>6333.745</v>
      </c>
      <c r="AM47" s="186">
        <f>5800*(1+InflacionAnual)^(YEAR(AM$3)-AnioBase)</f>
        <v>6333.745</v>
      </c>
      <c r="AN47" s="186">
        <f>5800*(1+InflacionAnual)^(YEAR(AN$3)-AnioBase)</f>
        <v>6618.763525</v>
      </c>
      <c r="AO47" s="186">
        <f>5800*(1+InflacionAnual)^(YEAR(AO$3)-AnioBase)</f>
        <v>6618.763525</v>
      </c>
      <c r="AP47" s="186">
        <f>5800*(1+InflacionAnual)^(YEAR(AP$3)-AnioBase)</f>
        <v>6618.763525</v>
      </c>
      <c r="AQ47" s="186">
        <f>5800*(1+InflacionAnual)^(YEAR(AQ$3)-AnioBase)</f>
        <v>6618.763525</v>
      </c>
      <c r="AR47" s="186">
        <f>5800*(1+InflacionAnual)^(YEAR(AR$3)-AnioBase)</f>
        <v>6618.763525</v>
      </c>
      <c r="AS47" s="186">
        <f>5800*(1+InflacionAnual)^(YEAR(AS$3)-AnioBase)</f>
        <v>6618.763525</v>
      </c>
      <c r="AT47" s="186">
        <f>5800*(1+InflacionAnual)^(YEAR(AT$3)-AnioBase)</f>
        <v>6618.763525</v>
      </c>
      <c r="AU47" s="186">
        <f>5800*(1+InflacionAnual)^(YEAR(AU$3)-AnioBase)</f>
        <v>6618.763525</v>
      </c>
      <c r="AV47" s="186">
        <f>5800*(1+InflacionAnual)^(YEAR(AV$3)-AnioBase)</f>
        <v>6618.763525</v>
      </c>
      <c r="AW47" s="186">
        <f>5800*(1+InflacionAnual)^(YEAR(AW$3)-AnioBase)</f>
        <v>6618.763525</v>
      </c>
      <c r="AX47" s="186">
        <f>5800*(1+InflacionAnual)^(YEAR(AX$3)-AnioBase)</f>
        <v>6618.763525</v>
      </c>
      <c r="AY47" s="186">
        <f>5800*(1+InflacionAnual)^(YEAR(AY$3)-AnioBase)</f>
        <v>6618.763525</v>
      </c>
      <c r="AZ47" s="186">
        <f>5800*(1+InflacionAnual)^(YEAR(AZ$3)-AnioBase)</f>
        <v>6916.607884</v>
      </c>
      <c r="BA47" s="186">
        <f>5800*(1+InflacionAnual)^(YEAR(BA$3)-AnioBase)</f>
        <v>6916.607884</v>
      </c>
      <c r="BB47" s="186">
        <f>5800*(1+InflacionAnual)^(YEAR(BB$3)-AnioBase)</f>
        <v>6916.607884</v>
      </c>
      <c r="BC47" s="186">
        <f>5800*(1+InflacionAnual)^(YEAR(BC$3)-AnioBase)</f>
        <v>6916.607884</v>
      </c>
      <c r="BD47" s="186">
        <f>5800*(1+InflacionAnual)^(YEAR(BD$3)-AnioBase)</f>
        <v>6916.607884</v>
      </c>
      <c r="BE47" s="186">
        <f>5800*(1+InflacionAnual)^(YEAR(BE$3)-AnioBase)</f>
        <v>6916.607884</v>
      </c>
      <c r="BF47" s="186">
        <f>5800*(1+InflacionAnual)^(YEAR(BF$3)-AnioBase)</f>
        <v>6916.607884</v>
      </c>
      <c r="BG47" s="186">
        <f>5800*(1+InflacionAnual)^(YEAR(BG$3)-AnioBase)</f>
        <v>6916.607884</v>
      </c>
      <c r="BH47" s="186">
        <f>5800*(1+InflacionAnual)^(YEAR(BH$3)-AnioBase)</f>
        <v>6916.607884</v>
      </c>
      <c r="BI47" s="186">
        <f>5800*(1+InflacionAnual)^(YEAR(BI$3)-AnioBase)</f>
        <v>6916.607884</v>
      </c>
      <c r="BJ47" s="186">
        <f>5800*(1+InflacionAnual)^(YEAR(BJ$3)-AnioBase)</f>
        <v>6916.607884</v>
      </c>
      <c r="BK47" s="186">
        <f>5800*(1+InflacionAnual)^(YEAR(BK$3)-AnioBase)</f>
        <v>6916.607884</v>
      </c>
      <c r="BL47" s="186">
        <f t="shared" si="35"/>
        <v>380761.3969</v>
      </c>
      <c r="BM47" s="186">
        <f t="shared" si="36"/>
        <v>6346.023282</v>
      </c>
    </row>
    <row r="48" ht="22.5" customHeight="1" outlineLevel="2">
      <c r="A48" s="69"/>
      <c r="B48" s="184"/>
      <c r="C48" s="185" t="s">
        <v>620</v>
      </c>
      <c r="D48" s="186">
        <v>150.0</v>
      </c>
      <c r="E48" s="186">
        <v>150.0</v>
      </c>
      <c r="F48" s="186">
        <v>150.0</v>
      </c>
      <c r="G48" s="186">
        <v>150.0</v>
      </c>
      <c r="H48" s="186">
        <v>150.0</v>
      </c>
      <c r="I48" s="186">
        <v>150.0</v>
      </c>
      <c r="J48" s="186">
        <v>150.0</v>
      </c>
      <c r="K48" s="186">
        <v>150.0</v>
      </c>
      <c r="L48" s="186">
        <v>150.0</v>
      </c>
      <c r="M48" s="186">
        <v>150.0</v>
      </c>
      <c r="N48" s="186">
        <v>150.0</v>
      </c>
      <c r="O48" s="186">
        <v>150.0</v>
      </c>
      <c r="P48" s="186">
        <v>150.0</v>
      </c>
      <c r="Q48" s="186">
        <v>150.0</v>
      </c>
      <c r="R48" s="186">
        <v>150.0</v>
      </c>
      <c r="S48" s="186">
        <v>150.0</v>
      </c>
      <c r="T48" s="186">
        <v>150.0</v>
      </c>
      <c r="U48" s="186">
        <v>150.0</v>
      </c>
      <c r="V48" s="186">
        <v>150.0</v>
      </c>
      <c r="W48" s="186">
        <v>150.0</v>
      </c>
      <c r="X48" s="186">
        <v>150.0</v>
      </c>
      <c r="Y48" s="186">
        <v>150.0</v>
      </c>
      <c r="Z48" s="186">
        <v>150.0</v>
      </c>
      <c r="AA48" s="186">
        <v>150.0</v>
      </c>
      <c r="AB48" s="186">
        <v>150.0</v>
      </c>
      <c r="AC48" s="186">
        <v>150.0</v>
      </c>
      <c r="AD48" s="186">
        <v>150.0</v>
      </c>
      <c r="AE48" s="186">
        <v>150.0</v>
      </c>
      <c r="AF48" s="186">
        <v>150.0</v>
      </c>
      <c r="AG48" s="186">
        <v>150.0</v>
      </c>
      <c r="AH48" s="186">
        <v>150.0</v>
      </c>
      <c r="AI48" s="186">
        <v>150.0</v>
      </c>
      <c r="AJ48" s="186">
        <v>150.0</v>
      </c>
      <c r="AK48" s="186">
        <v>150.0</v>
      </c>
      <c r="AL48" s="186">
        <v>150.0</v>
      </c>
      <c r="AM48" s="186">
        <v>150.0</v>
      </c>
      <c r="AN48" s="186">
        <v>150.0</v>
      </c>
      <c r="AO48" s="186">
        <v>150.0</v>
      </c>
      <c r="AP48" s="186">
        <v>150.0</v>
      </c>
      <c r="AQ48" s="186">
        <v>150.0</v>
      </c>
      <c r="AR48" s="186">
        <v>150.0</v>
      </c>
      <c r="AS48" s="186">
        <v>150.0</v>
      </c>
      <c r="AT48" s="186">
        <v>150.0</v>
      </c>
      <c r="AU48" s="186">
        <v>150.0</v>
      </c>
      <c r="AV48" s="186">
        <v>150.0</v>
      </c>
      <c r="AW48" s="186">
        <v>150.0</v>
      </c>
      <c r="AX48" s="186">
        <v>150.0</v>
      </c>
      <c r="AY48" s="186">
        <v>150.0</v>
      </c>
      <c r="AZ48" s="186">
        <v>150.0</v>
      </c>
      <c r="BA48" s="186">
        <v>150.0</v>
      </c>
      <c r="BB48" s="186">
        <v>150.0</v>
      </c>
      <c r="BC48" s="186">
        <v>150.0</v>
      </c>
      <c r="BD48" s="186">
        <v>150.0</v>
      </c>
      <c r="BE48" s="186">
        <v>150.0</v>
      </c>
      <c r="BF48" s="186">
        <v>150.0</v>
      </c>
      <c r="BG48" s="186">
        <v>150.0</v>
      </c>
      <c r="BH48" s="186">
        <v>150.0</v>
      </c>
      <c r="BI48" s="186">
        <v>150.0</v>
      </c>
      <c r="BJ48" s="186">
        <v>150.0</v>
      </c>
      <c r="BK48" s="186">
        <v>150.0</v>
      </c>
      <c r="BL48" s="186">
        <f t="shared" si="35"/>
        <v>9000</v>
      </c>
      <c r="BM48" s="186">
        <f t="shared" si="36"/>
        <v>150</v>
      </c>
    </row>
    <row r="49" ht="22.5" customHeight="1" outlineLevel="2">
      <c r="A49" s="69"/>
      <c r="B49" s="184"/>
      <c r="C49" s="185" t="s">
        <v>621</v>
      </c>
      <c r="D49" s="186">
        <v>1000.0</v>
      </c>
      <c r="E49" s="186">
        <v>1000.0</v>
      </c>
      <c r="F49" s="186">
        <v>1000.0</v>
      </c>
      <c r="G49" s="186">
        <v>1000.0</v>
      </c>
      <c r="H49" s="186">
        <v>1000.0</v>
      </c>
      <c r="I49" s="186">
        <v>1000.0</v>
      </c>
      <c r="J49" s="186">
        <v>1000.0</v>
      </c>
      <c r="K49" s="186">
        <v>1000.0</v>
      </c>
      <c r="L49" s="186">
        <v>1000.0</v>
      </c>
      <c r="M49" s="186">
        <v>1000.0</v>
      </c>
      <c r="N49" s="186">
        <v>1000.0</v>
      </c>
      <c r="O49" s="186">
        <v>1000.0</v>
      </c>
      <c r="P49" s="186">
        <v>1000.0</v>
      </c>
      <c r="Q49" s="186">
        <v>1000.0</v>
      </c>
      <c r="R49" s="186">
        <v>1000.0</v>
      </c>
      <c r="S49" s="186">
        <v>1000.0</v>
      </c>
      <c r="T49" s="186">
        <v>1000.0</v>
      </c>
      <c r="U49" s="186">
        <v>1000.0</v>
      </c>
      <c r="V49" s="186">
        <v>1000.0</v>
      </c>
      <c r="W49" s="186">
        <v>1000.0</v>
      </c>
      <c r="X49" s="186">
        <v>1000.0</v>
      </c>
      <c r="Y49" s="186">
        <v>1000.0</v>
      </c>
      <c r="Z49" s="186">
        <v>1000.0</v>
      </c>
      <c r="AA49" s="186">
        <v>1000.0</v>
      </c>
      <c r="AB49" s="186">
        <v>1000.0</v>
      </c>
      <c r="AC49" s="186">
        <v>1000.0</v>
      </c>
      <c r="AD49" s="186">
        <v>1000.0</v>
      </c>
      <c r="AE49" s="186">
        <v>1000.0</v>
      </c>
      <c r="AF49" s="186">
        <v>1000.0</v>
      </c>
      <c r="AG49" s="186">
        <v>1000.0</v>
      </c>
      <c r="AH49" s="186">
        <v>1000.0</v>
      </c>
      <c r="AI49" s="186">
        <v>1000.0</v>
      </c>
      <c r="AJ49" s="186">
        <v>1000.0</v>
      </c>
      <c r="AK49" s="186">
        <v>1000.0</v>
      </c>
      <c r="AL49" s="186">
        <v>1000.0</v>
      </c>
      <c r="AM49" s="186">
        <v>1000.0</v>
      </c>
      <c r="AN49" s="186">
        <v>1000.0</v>
      </c>
      <c r="AO49" s="186">
        <v>1000.0</v>
      </c>
      <c r="AP49" s="186">
        <v>1000.0</v>
      </c>
      <c r="AQ49" s="186">
        <v>1000.0</v>
      </c>
      <c r="AR49" s="186">
        <v>1000.0</v>
      </c>
      <c r="AS49" s="186">
        <v>1000.0</v>
      </c>
      <c r="AT49" s="186">
        <v>1000.0</v>
      </c>
      <c r="AU49" s="186">
        <v>1000.0</v>
      </c>
      <c r="AV49" s="186">
        <v>1000.0</v>
      </c>
      <c r="AW49" s="186">
        <v>1000.0</v>
      </c>
      <c r="AX49" s="186">
        <v>1000.0</v>
      </c>
      <c r="AY49" s="186">
        <v>1000.0</v>
      </c>
      <c r="AZ49" s="186">
        <v>1000.0</v>
      </c>
      <c r="BA49" s="186">
        <v>1000.0</v>
      </c>
      <c r="BB49" s="186">
        <v>1000.0</v>
      </c>
      <c r="BC49" s="186">
        <v>1000.0</v>
      </c>
      <c r="BD49" s="186">
        <v>1000.0</v>
      </c>
      <c r="BE49" s="186">
        <v>1000.0</v>
      </c>
      <c r="BF49" s="186">
        <v>1000.0</v>
      </c>
      <c r="BG49" s="186">
        <v>1000.0</v>
      </c>
      <c r="BH49" s="186">
        <v>1000.0</v>
      </c>
      <c r="BI49" s="186">
        <v>1000.0</v>
      </c>
      <c r="BJ49" s="186">
        <v>1000.0</v>
      </c>
      <c r="BK49" s="186">
        <v>1000.0</v>
      </c>
      <c r="BL49" s="186">
        <f t="shared" si="35"/>
        <v>60000</v>
      </c>
      <c r="BM49" s="186">
        <f t="shared" si="36"/>
        <v>1000</v>
      </c>
    </row>
    <row r="50" ht="22.5" customHeight="1" outlineLevel="1">
      <c r="A50" s="69"/>
      <c r="B50" s="126" t="s">
        <v>623</v>
      </c>
      <c r="C50" s="127"/>
      <c r="D50" s="128">
        <f t="shared" ref="D50:BK50" si="37">(SUM(D52:D53)) * D$5</f>
        <v>0</v>
      </c>
      <c r="E50" s="128">
        <f t="shared" si="37"/>
        <v>0</v>
      </c>
      <c r="F50" s="128">
        <f t="shared" si="37"/>
        <v>0</v>
      </c>
      <c r="G50" s="128">
        <f t="shared" si="37"/>
        <v>0</v>
      </c>
      <c r="H50" s="128">
        <f t="shared" si="37"/>
        <v>0</v>
      </c>
      <c r="I50" s="128">
        <f t="shared" si="37"/>
        <v>0</v>
      </c>
      <c r="J50" s="128">
        <f t="shared" si="37"/>
        <v>0</v>
      </c>
      <c r="K50" s="128">
        <f t="shared" si="37"/>
        <v>0</v>
      </c>
      <c r="L50" s="128">
        <f t="shared" si="37"/>
        <v>0</v>
      </c>
      <c r="M50" s="128">
        <f t="shared" si="37"/>
        <v>0</v>
      </c>
      <c r="N50" s="128">
        <f t="shared" si="37"/>
        <v>0</v>
      </c>
      <c r="O50" s="128">
        <f t="shared" si="37"/>
        <v>0</v>
      </c>
      <c r="P50" s="128">
        <f t="shared" si="37"/>
        <v>0</v>
      </c>
      <c r="Q50" s="128">
        <f t="shared" si="37"/>
        <v>0</v>
      </c>
      <c r="R50" s="128">
        <f t="shared" si="37"/>
        <v>0</v>
      </c>
      <c r="S50" s="128">
        <f t="shared" si="37"/>
        <v>0</v>
      </c>
      <c r="T50" s="128">
        <f t="shared" si="37"/>
        <v>0</v>
      </c>
      <c r="U50" s="128">
        <f t="shared" si="37"/>
        <v>0</v>
      </c>
      <c r="V50" s="128">
        <f t="shared" si="37"/>
        <v>0</v>
      </c>
      <c r="W50" s="128">
        <f t="shared" si="37"/>
        <v>0</v>
      </c>
      <c r="X50" s="128">
        <f t="shared" si="37"/>
        <v>0</v>
      </c>
      <c r="Y50" s="128">
        <f t="shared" si="37"/>
        <v>0</v>
      </c>
      <c r="Z50" s="128">
        <f t="shared" si="37"/>
        <v>0</v>
      </c>
      <c r="AA50" s="128">
        <f t="shared" si="37"/>
        <v>0</v>
      </c>
      <c r="AB50" s="128">
        <f t="shared" si="37"/>
        <v>0</v>
      </c>
      <c r="AC50" s="128">
        <f t="shared" si="37"/>
        <v>0</v>
      </c>
      <c r="AD50" s="128">
        <f t="shared" si="37"/>
        <v>0</v>
      </c>
      <c r="AE50" s="128">
        <f t="shared" si="37"/>
        <v>0</v>
      </c>
      <c r="AF50" s="128">
        <f t="shared" si="37"/>
        <v>0</v>
      </c>
      <c r="AG50" s="128">
        <f t="shared" si="37"/>
        <v>0</v>
      </c>
      <c r="AH50" s="128">
        <f t="shared" si="37"/>
        <v>0</v>
      </c>
      <c r="AI50" s="128">
        <f t="shared" si="37"/>
        <v>0</v>
      </c>
      <c r="AJ50" s="128">
        <f t="shared" si="37"/>
        <v>0</v>
      </c>
      <c r="AK50" s="128">
        <f t="shared" si="37"/>
        <v>0</v>
      </c>
      <c r="AL50" s="128">
        <f t="shared" si="37"/>
        <v>0</v>
      </c>
      <c r="AM50" s="128">
        <f t="shared" si="37"/>
        <v>0</v>
      </c>
      <c r="AN50" s="128">
        <f t="shared" si="37"/>
        <v>0</v>
      </c>
      <c r="AO50" s="128">
        <f t="shared" si="37"/>
        <v>0</v>
      </c>
      <c r="AP50" s="128">
        <f t="shared" si="37"/>
        <v>0</v>
      </c>
      <c r="AQ50" s="128">
        <f t="shared" si="37"/>
        <v>0</v>
      </c>
      <c r="AR50" s="128">
        <f t="shared" si="37"/>
        <v>0</v>
      </c>
      <c r="AS50" s="128">
        <f t="shared" si="37"/>
        <v>0</v>
      </c>
      <c r="AT50" s="128">
        <f t="shared" si="37"/>
        <v>0</v>
      </c>
      <c r="AU50" s="128">
        <f t="shared" si="37"/>
        <v>0</v>
      </c>
      <c r="AV50" s="128">
        <f t="shared" si="37"/>
        <v>0</v>
      </c>
      <c r="AW50" s="128">
        <f t="shared" si="37"/>
        <v>0</v>
      </c>
      <c r="AX50" s="128">
        <f t="shared" si="37"/>
        <v>0</v>
      </c>
      <c r="AY50" s="128">
        <f t="shared" si="37"/>
        <v>0</v>
      </c>
      <c r="AZ50" s="128">
        <f t="shared" si="37"/>
        <v>0</v>
      </c>
      <c r="BA50" s="128">
        <f t="shared" si="37"/>
        <v>0</v>
      </c>
      <c r="BB50" s="128">
        <f t="shared" si="37"/>
        <v>0</v>
      </c>
      <c r="BC50" s="128">
        <f t="shared" si="37"/>
        <v>0</v>
      </c>
      <c r="BD50" s="128">
        <f t="shared" si="37"/>
        <v>0</v>
      </c>
      <c r="BE50" s="128">
        <f t="shared" si="37"/>
        <v>0</v>
      </c>
      <c r="BF50" s="128">
        <f t="shared" si="37"/>
        <v>0</v>
      </c>
      <c r="BG50" s="128">
        <f t="shared" si="37"/>
        <v>0</v>
      </c>
      <c r="BH50" s="128">
        <f t="shared" si="37"/>
        <v>0</v>
      </c>
      <c r="BI50" s="128">
        <f t="shared" si="37"/>
        <v>0</v>
      </c>
      <c r="BJ50" s="128">
        <f t="shared" si="37"/>
        <v>0</v>
      </c>
      <c r="BK50" s="128">
        <f t="shared" si="37"/>
        <v>0</v>
      </c>
      <c r="BL50" s="128">
        <f t="shared" si="35"/>
        <v>0</v>
      </c>
      <c r="BM50" s="128">
        <f t="shared" si="36"/>
        <v>0</v>
      </c>
    </row>
    <row r="51" ht="22.5" customHeight="1" outlineLevel="2">
      <c r="A51" s="199"/>
      <c r="B51" s="200" t="s">
        <v>552</v>
      </c>
      <c r="C51" s="201"/>
      <c r="D51" s="181">
        <f t="shared" ref="D51:BK51" si="38">IFERROR(D50/D$19,"")</f>
        <v>0</v>
      </c>
      <c r="E51" s="181">
        <f t="shared" si="38"/>
        <v>0</v>
      </c>
      <c r="F51" s="181">
        <f t="shared" si="38"/>
        <v>0</v>
      </c>
      <c r="G51" s="181">
        <f t="shared" si="38"/>
        <v>0</v>
      </c>
      <c r="H51" s="181">
        <f t="shared" si="38"/>
        <v>0</v>
      </c>
      <c r="I51" s="181">
        <f t="shared" si="38"/>
        <v>0</v>
      </c>
      <c r="J51" s="181">
        <f t="shared" si="38"/>
        <v>0</v>
      </c>
      <c r="K51" s="181">
        <f t="shared" si="38"/>
        <v>0</v>
      </c>
      <c r="L51" s="181">
        <f t="shared" si="38"/>
        <v>0</v>
      </c>
      <c r="M51" s="181">
        <f t="shared" si="38"/>
        <v>0</v>
      </c>
      <c r="N51" s="181">
        <f t="shared" si="38"/>
        <v>0</v>
      </c>
      <c r="O51" s="181">
        <f t="shared" si="38"/>
        <v>0</v>
      </c>
      <c r="P51" s="181">
        <f t="shared" si="38"/>
        <v>0</v>
      </c>
      <c r="Q51" s="181">
        <f t="shared" si="38"/>
        <v>0</v>
      </c>
      <c r="R51" s="181">
        <f t="shared" si="38"/>
        <v>0</v>
      </c>
      <c r="S51" s="181">
        <f t="shared" si="38"/>
        <v>0</v>
      </c>
      <c r="T51" s="181">
        <f t="shared" si="38"/>
        <v>0</v>
      </c>
      <c r="U51" s="181">
        <f t="shared" si="38"/>
        <v>0</v>
      </c>
      <c r="V51" s="181">
        <f t="shared" si="38"/>
        <v>0</v>
      </c>
      <c r="W51" s="181">
        <f t="shared" si="38"/>
        <v>0</v>
      </c>
      <c r="X51" s="181">
        <f t="shared" si="38"/>
        <v>0</v>
      </c>
      <c r="Y51" s="181">
        <f t="shared" si="38"/>
        <v>0</v>
      </c>
      <c r="Z51" s="181">
        <f t="shared" si="38"/>
        <v>0</v>
      </c>
      <c r="AA51" s="181">
        <f t="shared" si="38"/>
        <v>0</v>
      </c>
      <c r="AB51" s="181">
        <f t="shared" si="38"/>
        <v>0</v>
      </c>
      <c r="AC51" s="181">
        <f t="shared" si="38"/>
        <v>0</v>
      </c>
      <c r="AD51" s="181">
        <f t="shared" si="38"/>
        <v>0</v>
      </c>
      <c r="AE51" s="181">
        <f t="shared" si="38"/>
        <v>0</v>
      </c>
      <c r="AF51" s="181">
        <f t="shared" si="38"/>
        <v>0</v>
      </c>
      <c r="AG51" s="181">
        <f t="shared" si="38"/>
        <v>0</v>
      </c>
      <c r="AH51" s="181">
        <f t="shared" si="38"/>
        <v>0</v>
      </c>
      <c r="AI51" s="181">
        <f t="shared" si="38"/>
        <v>0</v>
      </c>
      <c r="AJ51" s="181">
        <f t="shared" si="38"/>
        <v>0</v>
      </c>
      <c r="AK51" s="181">
        <f t="shared" si="38"/>
        <v>0</v>
      </c>
      <c r="AL51" s="181">
        <f t="shared" si="38"/>
        <v>0</v>
      </c>
      <c r="AM51" s="181">
        <f t="shared" si="38"/>
        <v>0</v>
      </c>
      <c r="AN51" s="181">
        <f t="shared" si="38"/>
        <v>0</v>
      </c>
      <c r="AO51" s="181">
        <f t="shared" si="38"/>
        <v>0</v>
      </c>
      <c r="AP51" s="181">
        <f t="shared" si="38"/>
        <v>0</v>
      </c>
      <c r="AQ51" s="181">
        <f t="shared" si="38"/>
        <v>0</v>
      </c>
      <c r="AR51" s="181">
        <f t="shared" si="38"/>
        <v>0</v>
      </c>
      <c r="AS51" s="181">
        <f t="shared" si="38"/>
        <v>0</v>
      </c>
      <c r="AT51" s="181">
        <f t="shared" si="38"/>
        <v>0</v>
      </c>
      <c r="AU51" s="181">
        <f t="shared" si="38"/>
        <v>0</v>
      </c>
      <c r="AV51" s="181">
        <f t="shared" si="38"/>
        <v>0</v>
      </c>
      <c r="AW51" s="181">
        <f t="shared" si="38"/>
        <v>0</v>
      </c>
      <c r="AX51" s="181">
        <f t="shared" si="38"/>
        <v>0</v>
      </c>
      <c r="AY51" s="181">
        <f t="shared" si="38"/>
        <v>0</v>
      </c>
      <c r="AZ51" s="181">
        <f t="shared" si="38"/>
        <v>0</v>
      </c>
      <c r="BA51" s="181">
        <f t="shared" si="38"/>
        <v>0</v>
      </c>
      <c r="BB51" s="181">
        <f t="shared" si="38"/>
        <v>0</v>
      </c>
      <c r="BC51" s="181">
        <f t="shared" si="38"/>
        <v>0</v>
      </c>
      <c r="BD51" s="181">
        <f t="shared" si="38"/>
        <v>0</v>
      </c>
      <c r="BE51" s="181">
        <f t="shared" si="38"/>
        <v>0</v>
      </c>
      <c r="BF51" s="181">
        <f t="shared" si="38"/>
        <v>0</v>
      </c>
      <c r="BG51" s="181">
        <f t="shared" si="38"/>
        <v>0</v>
      </c>
      <c r="BH51" s="181">
        <f t="shared" si="38"/>
        <v>0</v>
      </c>
      <c r="BI51" s="181">
        <f t="shared" si="38"/>
        <v>0</v>
      </c>
      <c r="BJ51" s="181">
        <f t="shared" si="38"/>
        <v>0</v>
      </c>
      <c r="BK51" s="181">
        <f t="shared" si="38"/>
        <v>0</v>
      </c>
      <c r="BL51" s="181">
        <f>AVERAGE(D51:BK51)</f>
        <v>0</v>
      </c>
    </row>
    <row r="52" ht="22.5" customHeight="1" outlineLevel="2">
      <c r="A52" s="69"/>
      <c r="B52" s="116"/>
      <c r="C52" s="185" t="s">
        <v>629</v>
      </c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>
        <f>SUM(D52:BK52)</f>
        <v>0</v>
      </c>
      <c r="BM52" s="186" t="str">
        <f>AVERAGE(D52:BK52)</f>
        <v>#DIV/0!</v>
      </c>
    </row>
    <row r="53" ht="22.5" customHeight="1" outlineLevel="2">
      <c r="A53" s="69"/>
      <c r="B53" s="116"/>
      <c r="C53" s="185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</row>
    <row r="54" ht="22.5" hidden="1" customHeight="1" outlineLevel="2">
      <c r="A54" s="69"/>
      <c r="B54" s="69"/>
      <c r="C54" s="204"/>
      <c r="D54" s="186">
        <v>0.0</v>
      </c>
      <c r="E54" s="186">
        <v>0.0</v>
      </c>
      <c r="F54" s="186">
        <v>0.0</v>
      </c>
      <c r="G54" s="186">
        <v>0.0</v>
      </c>
      <c r="H54" s="186">
        <v>0.0</v>
      </c>
      <c r="I54" s="186">
        <v>0.0</v>
      </c>
      <c r="J54" s="186">
        <v>0.0</v>
      </c>
      <c r="K54" s="186">
        <v>0.0</v>
      </c>
      <c r="L54" s="186">
        <v>0.0</v>
      </c>
      <c r="M54" s="186">
        <v>0.0</v>
      </c>
      <c r="N54" s="186">
        <v>0.0</v>
      </c>
      <c r="O54" s="186">
        <v>0.0</v>
      </c>
      <c r="P54" s="205">
        <v>0.0</v>
      </c>
      <c r="Q54" s="205">
        <v>0.0</v>
      </c>
      <c r="R54" s="205">
        <v>0.0</v>
      </c>
      <c r="S54" s="205">
        <v>0.0</v>
      </c>
      <c r="T54" s="205">
        <v>0.0</v>
      </c>
      <c r="U54" s="205">
        <v>0.0</v>
      </c>
      <c r="V54" s="205">
        <v>0.0</v>
      </c>
      <c r="W54" s="205">
        <v>0.0</v>
      </c>
      <c r="X54" s="205">
        <v>0.0</v>
      </c>
      <c r="Y54" s="205">
        <v>0.0</v>
      </c>
      <c r="Z54" s="205">
        <v>0.0</v>
      </c>
      <c r="AA54" s="205">
        <v>0.0</v>
      </c>
      <c r="AB54" s="205">
        <v>0.0</v>
      </c>
      <c r="AC54" s="205">
        <v>0.0</v>
      </c>
      <c r="AD54" s="205">
        <v>0.0</v>
      </c>
      <c r="AE54" s="205">
        <v>0.0</v>
      </c>
      <c r="AF54" s="205">
        <v>0.0</v>
      </c>
      <c r="AG54" s="205">
        <v>0.0</v>
      </c>
      <c r="AH54" s="205">
        <v>0.0</v>
      </c>
      <c r="AI54" s="205">
        <v>0.0</v>
      </c>
      <c r="AJ54" s="205">
        <v>0.0</v>
      </c>
      <c r="AK54" s="205">
        <v>0.0</v>
      </c>
      <c r="AL54" s="205">
        <v>0.0</v>
      </c>
      <c r="AM54" s="205">
        <v>0.0</v>
      </c>
      <c r="AN54" s="205">
        <v>0.0</v>
      </c>
      <c r="AO54" s="205">
        <v>0.0</v>
      </c>
      <c r="AP54" s="205">
        <v>0.0</v>
      </c>
      <c r="AQ54" s="205">
        <v>0.0</v>
      </c>
      <c r="AR54" s="205">
        <v>0.0</v>
      </c>
      <c r="AS54" s="205">
        <v>0.0</v>
      </c>
      <c r="AT54" s="205">
        <v>0.0</v>
      </c>
      <c r="AU54" s="205">
        <v>0.0</v>
      </c>
      <c r="AV54" s="205">
        <v>0.0</v>
      </c>
      <c r="AW54" s="205">
        <v>0.0</v>
      </c>
      <c r="AX54" s="205">
        <v>0.0</v>
      </c>
      <c r="AY54" s="205">
        <v>0.0</v>
      </c>
      <c r="AZ54" s="205">
        <v>0.0</v>
      </c>
      <c r="BA54" s="205">
        <v>0.0</v>
      </c>
      <c r="BB54" s="205">
        <v>0.0</v>
      </c>
      <c r="BC54" s="205">
        <v>0.0</v>
      </c>
      <c r="BD54" s="205">
        <v>0.0</v>
      </c>
      <c r="BE54" s="205">
        <v>0.0</v>
      </c>
      <c r="BF54" s="205">
        <v>0.0</v>
      </c>
      <c r="BG54" s="205">
        <v>0.0</v>
      </c>
      <c r="BH54" s="205">
        <v>0.0</v>
      </c>
      <c r="BI54" s="205">
        <v>0.0</v>
      </c>
      <c r="BJ54" s="205">
        <v>0.0</v>
      </c>
      <c r="BK54" s="205">
        <v>0.0</v>
      </c>
      <c r="BL54" s="205">
        <f t="shared" ref="BL54:BL55" si="40">SUM(D54:BK54)</f>
        <v>0</v>
      </c>
      <c r="BM54" s="205">
        <f t="shared" ref="BM54:BM55" si="41">AVERAGE(D54:BK54)</f>
        <v>0</v>
      </c>
    </row>
    <row r="55" ht="22.5" customHeight="1">
      <c r="A55" s="27" t="s">
        <v>206</v>
      </c>
      <c r="D55" s="68">
        <f t="shared" ref="D55:BK55" si="39">IFERROR(((D19-D21)-D25),"Revise Error")</f>
        <v>146498.9739</v>
      </c>
      <c r="E55" s="68">
        <f t="shared" si="39"/>
        <v>153812.7653</v>
      </c>
      <c r="F55" s="68">
        <f t="shared" si="39"/>
        <v>156589.3083</v>
      </c>
      <c r="G55" s="68">
        <f t="shared" si="39"/>
        <v>147276.5088</v>
      </c>
      <c r="H55" s="68">
        <f t="shared" si="39"/>
        <v>150844.4693</v>
      </c>
      <c r="I55" s="68">
        <f t="shared" si="39"/>
        <v>150091.8862</v>
      </c>
      <c r="J55" s="68">
        <f t="shared" si="39"/>
        <v>158838.0014</v>
      </c>
      <c r="K55" s="68">
        <f t="shared" si="39"/>
        <v>157351.6642</v>
      </c>
      <c r="L55" s="68">
        <f t="shared" si="39"/>
        <v>131581.2875</v>
      </c>
      <c r="M55" s="68">
        <f t="shared" si="39"/>
        <v>125202.2889</v>
      </c>
      <c r="N55" s="68">
        <f t="shared" si="39"/>
        <v>156446.4384</v>
      </c>
      <c r="O55" s="68">
        <f t="shared" si="39"/>
        <v>140629.4976</v>
      </c>
      <c r="P55" s="50">
        <f t="shared" si="39"/>
        <v>132692.3361</v>
      </c>
      <c r="Q55" s="50">
        <f t="shared" si="39"/>
        <v>139859.5862</v>
      </c>
      <c r="R55" s="50">
        <f t="shared" si="39"/>
        <v>142589.4713</v>
      </c>
      <c r="S55" s="50">
        <f t="shared" si="39"/>
        <v>133502.394</v>
      </c>
      <c r="T55" s="50">
        <f t="shared" si="39"/>
        <v>137006.9102</v>
      </c>
      <c r="U55" s="50">
        <f t="shared" si="39"/>
        <v>136288.1245</v>
      </c>
      <c r="V55" s="50">
        <f t="shared" si="39"/>
        <v>144854.6351</v>
      </c>
      <c r="W55" s="50">
        <f t="shared" si="39"/>
        <v>143418.3571</v>
      </c>
      <c r="X55" s="50">
        <f t="shared" si="39"/>
        <v>118241.9142</v>
      </c>
      <c r="Y55" s="50">
        <f t="shared" si="39"/>
        <v>112021.8613</v>
      </c>
      <c r="Z55" s="50">
        <f t="shared" si="39"/>
        <v>142582.6476</v>
      </c>
      <c r="AA55" s="50">
        <f t="shared" si="39"/>
        <v>127135.8972</v>
      </c>
      <c r="AB55" s="50">
        <f t="shared" si="39"/>
        <v>119068.8184</v>
      </c>
      <c r="AC55" s="50">
        <f t="shared" si="39"/>
        <v>126091.7723</v>
      </c>
      <c r="AD55" s="50">
        <f t="shared" si="39"/>
        <v>128775.1125</v>
      </c>
      <c r="AE55" s="50">
        <f t="shared" si="39"/>
        <v>119907.6744</v>
      </c>
      <c r="AF55" s="50">
        <f t="shared" si="39"/>
        <v>123349.1788</v>
      </c>
      <c r="AG55" s="50">
        <f t="shared" si="39"/>
        <v>122662.4169</v>
      </c>
      <c r="AH55" s="50">
        <f t="shared" si="39"/>
        <v>131052.3677</v>
      </c>
      <c r="AI55" s="50">
        <f t="shared" si="39"/>
        <v>129664.0216</v>
      </c>
      <c r="AJ55" s="50">
        <f t="shared" si="39"/>
        <v>105067.2077</v>
      </c>
      <c r="AK55" s="50">
        <f t="shared" si="39"/>
        <v>99001.57674</v>
      </c>
      <c r="AL55" s="50">
        <f t="shared" si="39"/>
        <v>128893.3169</v>
      </c>
      <c r="AM55" s="50">
        <f t="shared" si="39"/>
        <v>113807.5112</v>
      </c>
      <c r="AN55" s="50">
        <f t="shared" si="39"/>
        <v>105597.8629</v>
      </c>
      <c r="AO55" s="50">
        <f t="shared" si="39"/>
        <v>118302.8401</v>
      </c>
      <c r="AP55" s="50">
        <f t="shared" si="39"/>
        <v>115075.365</v>
      </c>
      <c r="AQ55" s="50">
        <f t="shared" si="39"/>
        <v>106423.1477</v>
      </c>
      <c r="AR55" s="50">
        <f t="shared" si="39"/>
        <v>109801.5495</v>
      </c>
      <c r="AS55" s="50">
        <f t="shared" si="39"/>
        <v>109145.2501</v>
      </c>
      <c r="AT55" s="50">
        <f t="shared" si="39"/>
        <v>117360.2835</v>
      </c>
      <c r="AU55" s="50">
        <f t="shared" si="39"/>
        <v>116018.0776</v>
      </c>
      <c r="AV55" s="50">
        <f t="shared" si="39"/>
        <v>91991.04184</v>
      </c>
      <c r="AW55" s="50">
        <f t="shared" si="39"/>
        <v>86076.47095</v>
      </c>
      <c r="AX55" s="50">
        <f t="shared" si="39"/>
        <v>115308.2648</v>
      </c>
      <c r="AY55" s="50">
        <f t="shared" si="39"/>
        <v>100576.9198</v>
      </c>
      <c r="AZ55" s="50">
        <f t="shared" si="39"/>
        <v>92212.22406</v>
      </c>
      <c r="BA55" s="50">
        <f t="shared" si="39"/>
        <v>98952.2228</v>
      </c>
      <c r="BB55" s="50">
        <f t="shared" si="39"/>
        <v>101542.5818</v>
      </c>
      <c r="BC55" s="50">
        <f t="shared" si="39"/>
        <v>93098.38764</v>
      </c>
      <c r="BD55" s="50">
        <f t="shared" si="39"/>
        <v>96414.79735</v>
      </c>
      <c r="BE55" s="50">
        <f t="shared" si="39"/>
        <v>95787.26632</v>
      </c>
      <c r="BF55" s="50">
        <f t="shared" si="39"/>
        <v>103831.8262</v>
      </c>
      <c r="BG55" s="50">
        <f t="shared" si="39"/>
        <v>102533.6083</v>
      </c>
      <c r="BH55" s="50">
        <f t="shared" si="39"/>
        <v>79058.62768</v>
      </c>
      <c r="BI55" s="50">
        <f t="shared" si="39"/>
        <v>73289.87686</v>
      </c>
      <c r="BJ55" s="50">
        <f t="shared" si="39"/>
        <v>101880.5856</v>
      </c>
      <c r="BK55" s="50">
        <f t="shared" si="39"/>
        <v>87492.4193</v>
      </c>
      <c r="BL55" s="50">
        <f t="shared" si="40"/>
        <v>7250469.697</v>
      </c>
      <c r="BM55" s="50">
        <f t="shared" si="41"/>
        <v>120841.1616</v>
      </c>
    </row>
    <row r="56" ht="22.5" customHeight="1">
      <c r="A56" s="27" t="s">
        <v>630</v>
      </c>
      <c r="D56" s="124">
        <f t="shared" ref="D56:BK56" si="42">IFERROR(D55/D19,"Revise Error")</f>
        <v>0.433655662</v>
      </c>
      <c r="E56" s="124">
        <f t="shared" si="42"/>
        <v>0.4406970894</v>
      </c>
      <c r="F56" s="124">
        <f t="shared" si="42"/>
        <v>0.4431037449</v>
      </c>
      <c r="G56" s="124">
        <f t="shared" si="42"/>
        <v>0.4336086943</v>
      </c>
      <c r="H56" s="124">
        <f t="shared" si="42"/>
        <v>0.4369480443</v>
      </c>
      <c r="I56" s="124">
        <f t="shared" si="42"/>
        <v>0.4359089232</v>
      </c>
      <c r="J56" s="124">
        <f t="shared" si="42"/>
        <v>0.4441124583</v>
      </c>
      <c r="K56" s="124">
        <f t="shared" si="42"/>
        <v>0.4424385047</v>
      </c>
      <c r="L56" s="124">
        <f t="shared" si="42"/>
        <v>0.4147947799</v>
      </c>
      <c r="M56" s="124">
        <f t="shared" si="42"/>
        <v>0.4066765348</v>
      </c>
      <c r="N56" s="124">
        <f t="shared" si="42"/>
        <v>0.4407646867</v>
      </c>
      <c r="O56" s="124">
        <f t="shared" si="42"/>
        <v>0.4243065163</v>
      </c>
      <c r="P56" s="33">
        <f t="shared" si="42"/>
        <v>0.4058394042</v>
      </c>
      <c r="Q56" s="33">
        <f t="shared" si="42"/>
        <v>0.4138807364</v>
      </c>
      <c r="R56" s="33">
        <f t="shared" si="42"/>
        <v>0.4166717746</v>
      </c>
      <c r="S56" s="33">
        <f t="shared" si="42"/>
        <v>0.4060335485</v>
      </c>
      <c r="T56" s="33">
        <f t="shared" si="42"/>
        <v>0.4098836688</v>
      </c>
      <c r="U56" s="33">
        <f t="shared" si="42"/>
        <v>0.4087928067</v>
      </c>
      <c r="V56" s="33">
        <f t="shared" si="42"/>
        <v>0.4181201354</v>
      </c>
      <c r="W56" s="33">
        <f t="shared" si="42"/>
        <v>0.4163110577</v>
      </c>
      <c r="X56" s="33">
        <f t="shared" si="42"/>
        <v>0.3852164302</v>
      </c>
      <c r="Y56" s="33">
        <f t="shared" si="42"/>
        <v>0.3761373768</v>
      </c>
      <c r="Z56" s="33">
        <f t="shared" si="42"/>
        <v>0.4146533395</v>
      </c>
      <c r="AA56" s="33">
        <f t="shared" si="42"/>
        <v>0.3961941668</v>
      </c>
      <c r="AB56" s="33">
        <f t="shared" si="42"/>
        <v>0.3761649785</v>
      </c>
      <c r="AC56" s="33">
        <f t="shared" si="42"/>
        <v>0.3852849979</v>
      </c>
      <c r="AD56" s="33">
        <f t="shared" si="42"/>
        <v>0.3884906051</v>
      </c>
      <c r="AE56" s="33">
        <f t="shared" si="42"/>
        <v>0.3766205054</v>
      </c>
      <c r="AF56" s="33">
        <f t="shared" si="42"/>
        <v>0.3810216833</v>
      </c>
      <c r="AG56" s="33">
        <f t="shared" si="42"/>
        <v>0.3798754329</v>
      </c>
      <c r="AH56" s="33">
        <f t="shared" si="42"/>
        <v>0.39041374</v>
      </c>
      <c r="AI56" s="33">
        <f t="shared" si="42"/>
        <v>0.3884594401</v>
      </c>
      <c r="AJ56" s="33">
        <f t="shared" si="42"/>
        <v>0.3536445092</v>
      </c>
      <c r="AK56" s="33">
        <f t="shared" si="42"/>
        <v>0.3435284951</v>
      </c>
      <c r="AL56" s="33">
        <f t="shared" si="42"/>
        <v>0.3868198698</v>
      </c>
      <c r="AM56" s="33">
        <f t="shared" si="42"/>
        <v>0.3662052733</v>
      </c>
      <c r="AN56" s="33">
        <f t="shared" si="42"/>
        <v>0.3444957439</v>
      </c>
      <c r="AO56" s="33">
        <f t="shared" si="42"/>
        <v>0.3631447113</v>
      </c>
      <c r="AP56" s="33">
        <f t="shared" si="42"/>
        <v>0.3583667196</v>
      </c>
      <c r="AQ56" s="33">
        <f t="shared" si="42"/>
        <v>0.3451668265</v>
      </c>
      <c r="AR56" s="33">
        <f t="shared" si="42"/>
        <v>0.3501634784</v>
      </c>
      <c r="AS56" s="33">
        <f t="shared" si="42"/>
        <v>0.348957774</v>
      </c>
      <c r="AT56" s="33">
        <f t="shared" si="42"/>
        <v>0.3608032426</v>
      </c>
      <c r="AU56" s="33">
        <f t="shared" si="42"/>
        <v>0.3586925364</v>
      </c>
      <c r="AV56" s="33">
        <f t="shared" si="42"/>
        <v>0.3198599669</v>
      </c>
      <c r="AW56" s="33">
        <f t="shared" si="42"/>
        <v>0.3086229251</v>
      </c>
      <c r="AX56" s="33">
        <f t="shared" si="42"/>
        <v>0.3570732613</v>
      </c>
      <c r="AY56" s="33">
        <f t="shared" si="42"/>
        <v>0.3341327656</v>
      </c>
      <c r="AZ56" s="33">
        <f t="shared" si="42"/>
        <v>0.3106119927</v>
      </c>
      <c r="BA56" s="33">
        <f t="shared" si="42"/>
        <v>0.322152012</v>
      </c>
      <c r="BB56" s="33">
        <f t="shared" si="42"/>
        <v>0.3262873759</v>
      </c>
      <c r="BC56" s="33">
        <f t="shared" si="42"/>
        <v>0.3116579267</v>
      </c>
      <c r="BD56" s="33">
        <f t="shared" si="42"/>
        <v>0.3172955224</v>
      </c>
      <c r="BE56" s="33">
        <f t="shared" si="42"/>
        <v>0.3160263607</v>
      </c>
      <c r="BF56" s="33">
        <f t="shared" si="42"/>
        <v>0.3292771783</v>
      </c>
      <c r="BG56" s="33">
        <f t="shared" si="42"/>
        <v>0.3269988037</v>
      </c>
      <c r="BH56" s="33">
        <f t="shared" si="42"/>
        <v>0.2838453002</v>
      </c>
      <c r="BI56" s="33">
        <f t="shared" si="42"/>
        <v>0.2714014251</v>
      </c>
      <c r="BJ56" s="33">
        <f t="shared" si="42"/>
        <v>0.3254024032</v>
      </c>
      <c r="BK56" s="33">
        <f t="shared" si="42"/>
        <v>0.2999623629</v>
      </c>
      <c r="BL56" s="33">
        <f>AVERAGE(D56:BK56)</f>
        <v>0.3745279705</v>
      </c>
    </row>
    <row r="57" ht="20.25" customHeight="1">
      <c r="A57" s="206"/>
      <c r="B57" s="206"/>
      <c r="C57" s="207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09"/>
      <c r="BJ57" s="209"/>
      <c r="BK57" s="209"/>
      <c r="BL57" s="209"/>
      <c r="BM57" s="209"/>
    </row>
    <row r="58" ht="149.25" customHeight="1">
      <c r="A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  <c r="BM58" s="210"/>
    </row>
    <row r="59" ht="22.5" customHeight="1">
      <c r="A59" s="206"/>
      <c r="B59" s="206"/>
      <c r="C59" s="211" t="s">
        <v>631</v>
      </c>
      <c r="D59" s="208" t="str">
        <f t="shared" ref="D59:BK59" si="43">IF(ABS(D$7-(D8+D13))&lt;1,"OK","ERROR")</f>
        <v>OK</v>
      </c>
      <c r="E59" s="208" t="str">
        <f t="shared" si="43"/>
        <v>OK</v>
      </c>
      <c r="F59" s="208" t="str">
        <f t="shared" si="43"/>
        <v>OK</v>
      </c>
      <c r="G59" s="208" t="str">
        <f t="shared" si="43"/>
        <v>OK</v>
      </c>
      <c r="H59" s="208" t="str">
        <f t="shared" si="43"/>
        <v>OK</v>
      </c>
      <c r="I59" s="208" t="str">
        <f t="shared" si="43"/>
        <v>OK</v>
      </c>
      <c r="J59" s="208" t="str">
        <f t="shared" si="43"/>
        <v>OK</v>
      </c>
      <c r="K59" s="208" t="str">
        <f t="shared" si="43"/>
        <v>OK</v>
      </c>
      <c r="L59" s="208" t="str">
        <f t="shared" si="43"/>
        <v>OK</v>
      </c>
      <c r="M59" s="208" t="str">
        <f t="shared" si="43"/>
        <v>OK</v>
      </c>
      <c r="N59" s="208" t="str">
        <f t="shared" si="43"/>
        <v>OK</v>
      </c>
      <c r="O59" s="208" t="str">
        <f t="shared" si="43"/>
        <v>OK</v>
      </c>
      <c r="P59" s="212" t="str">
        <f t="shared" si="43"/>
        <v>OK</v>
      </c>
      <c r="Q59" s="212" t="str">
        <f t="shared" si="43"/>
        <v>OK</v>
      </c>
      <c r="R59" s="212" t="str">
        <f t="shared" si="43"/>
        <v>OK</v>
      </c>
      <c r="S59" s="212" t="str">
        <f t="shared" si="43"/>
        <v>OK</v>
      </c>
      <c r="T59" s="212" t="str">
        <f t="shared" si="43"/>
        <v>OK</v>
      </c>
      <c r="U59" s="212" t="str">
        <f t="shared" si="43"/>
        <v>OK</v>
      </c>
      <c r="V59" s="212" t="str">
        <f t="shared" si="43"/>
        <v>OK</v>
      </c>
      <c r="W59" s="212" t="str">
        <f t="shared" si="43"/>
        <v>OK</v>
      </c>
      <c r="X59" s="212" t="str">
        <f t="shared" si="43"/>
        <v>OK</v>
      </c>
      <c r="Y59" s="212" t="str">
        <f t="shared" si="43"/>
        <v>OK</v>
      </c>
      <c r="Z59" s="212" t="str">
        <f t="shared" si="43"/>
        <v>OK</v>
      </c>
      <c r="AA59" s="212" t="str">
        <f t="shared" si="43"/>
        <v>OK</v>
      </c>
      <c r="AB59" s="212" t="str">
        <f t="shared" si="43"/>
        <v>OK</v>
      </c>
      <c r="AC59" s="212" t="str">
        <f t="shared" si="43"/>
        <v>OK</v>
      </c>
      <c r="AD59" s="212" t="str">
        <f t="shared" si="43"/>
        <v>OK</v>
      </c>
      <c r="AE59" s="212" t="str">
        <f t="shared" si="43"/>
        <v>OK</v>
      </c>
      <c r="AF59" s="212" t="str">
        <f t="shared" si="43"/>
        <v>OK</v>
      </c>
      <c r="AG59" s="212" t="str">
        <f t="shared" si="43"/>
        <v>OK</v>
      </c>
      <c r="AH59" s="212" t="str">
        <f t="shared" si="43"/>
        <v>OK</v>
      </c>
      <c r="AI59" s="212" t="str">
        <f t="shared" si="43"/>
        <v>OK</v>
      </c>
      <c r="AJ59" s="212" t="str">
        <f t="shared" si="43"/>
        <v>OK</v>
      </c>
      <c r="AK59" s="212" t="str">
        <f t="shared" si="43"/>
        <v>OK</v>
      </c>
      <c r="AL59" s="212" t="str">
        <f t="shared" si="43"/>
        <v>OK</v>
      </c>
      <c r="AM59" s="212" t="str">
        <f t="shared" si="43"/>
        <v>OK</v>
      </c>
      <c r="AN59" s="212" t="str">
        <f t="shared" si="43"/>
        <v>OK</v>
      </c>
      <c r="AO59" s="212" t="str">
        <f t="shared" si="43"/>
        <v>OK</v>
      </c>
      <c r="AP59" s="212" t="str">
        <f t="shared" si="43"/>
        <v>OK</v>
      </c>
      <c r="AQ59" s="212" t="str">
        <f t="shared" si="43"/>
        <v>OK</v>
      </c>
      <c r="AR59" s="212" t="str">
        <f t="shared" si="43"/>
        <v>OK</v>
      </c>
      <c r="AS59" s="212" t="str">
        <f t="shared" si="43"/>
        <v>OK</v>
      </c>
      <c r="AT59" s="212" t="str">
        <f t="shared" si="43"/>
        <v>OK</v>
      </c>
      <c r="AU59" s="212" t="str">
        <f t="shared" si="43"/>
        <v>OK</v>
      </c>
      <c r="AV59" s="212" t="str">
        <f t="shared" si="43"/>
        <v>OK</v>
      </c>
      <c r="AW59" s="212" t="str">
        <f t="shared" si="43"/>
        <v>OK</v>
      </c>
      <c r="AX59" s="212" t="str">
        <f t="shared" si="43"/>
        <v>OK</v>
      </c>
      <c r="AY59" s="212" t="str">
        <f t="shared" si="43"/>
        <v>OK</v>
      </c>
      <c r="AZ59" s="212" t="str">
        <f t="shared" si="43"/>
        <v>OK</v>
      </c>
      <c r="BA59" s="212" t="str">
        <f t="shared" si="43"/>
        <v>OK</v>
      </c>
      <c r="BB59" s="212" t="str">
        <f t="shared" si="43"/>
        <v>OK</v>
      </c>
      <c r="BC59" s="212" t="str">
        <f t="shared" si="43"/>
        <v>OK</v>
      </c>
      <c r="BD59" s="212" t="str">
        <f t="shared" si="43"/>
        <v>OK</v>
      </c>
      <c r="BE59" s="212" t="str">
        <f t="shared" si="43"/>
        <v>OK</v>
      </c>
      <c r="BF59" s="212" t="str">
        <f t="shared" si="43"/>
        <v>OK</v>
      </c>
      <c r="BG59" s="212" t="str">
        <f t="shared" si="43"/>
        <v>OK</v>
      </c>
      <c r="BH59" s="212" t="str">
        <f t="shared" si="43"/>
        <v>OK</v>
      </c>
      <c r="BI59" s="212" t="str">
        <f t="shared" si="43"/>
        <v>OK</v>
      </c>
      <c r="BJ59" s="212" t="str">
        <f t="shared" si="43"/>
        <v>OK</v>
      </c>
      <c r="BK59" s="212" t="str">
        <f t="shared" si="43"/>
        <v>OK</v>
      </c>
      <c r="BL59" s="212"/>
      <c r="BM59" s="212"/>
    </row>
    <row r="60" ht="22.5" customHeight="1">
      <c r="A60" s="206"/>
      <c r="B60" s="206"/>
      <c r="C60" s="211" t="s">
        <v>632</v>
      </c>
      <c r="D60" s="213" t="str">
        <f t="shared" ref="D60:BK60" si="44">IF(ABS(D$7-(D18+D19))&lt;1,"OK","ERROR")</f>
        <v>OK</v>
      </c>
      <c r="E60" s="213" t="str">
        <f t="shared" si="44"/>
        <v>OK</v>
      </c>
      <c r="F60" s="213" t="str">
        <f t="shared" si="44"/>
        <v>OK</v>
      </c>
      <c r="G60" s="213" t="str">
        <f t="shared" si="44"/>
        <v>OK</v>
      </c>
      <c r="H60" s="213" t="str">
        <f t="shared" si="44"/>
        <v>OK</v>
      </c>
      <c r="I60" s="213" t="str">
        <f t="shared" si="44"/>
        <v>OK</v>
      </c>
      <c r="J60" s="213" t="str">
        <f t="shared" si="44"/>
        <v>OK</v>
      </c>
      <c r="K60" s="213" t="str">
        <f t="shared" si="44"/>
        <v>OK</v>
      </c>
      <c r="L60" s="213" t="str">
        <f t="shared" si="44"/>
        <v>OK</v>
      </c>
      <c r="M60" s="213" t="str">
        <f t="shared" si="44"/>
        <v>OK</v>
      </c>
      <c r="N60" s="213" t="str">
        <f t="shared" si="44"/>
        <v>OK</v>
      </c>
      <c r="O60" s="213" t="str">
        <f t="shared" si="44"/>
        <v>OK</v>
      </c>
      <c r="P60" s="214" t="str">
        <f t="shared" si="44"/>
        <v>OK</v>
      </c>
      <c r="Q60" s="214" t="str">
        <f t="shared" si="44"/>
        <v>OK</v>
      </c>
      <c r="R60" s="214" t="str">
        <f t="shared" si="44"/>
        <v>OK</v>
      </c>
      <c r="S60" s="214" t="str">
        <f t="shared" si="44"/>
        <v>OK</v>
      </c>
      <c r="T60" s="214" t="str">
        <f t="shared" si="44"/>
        <v>OK</v>
      </c>
      <c r="U60" s="214" t="str">
        <f t="shared" si="44"/>
        <v>OK</v>
      </c>
      <c r="V60" s="214" t="str">
        <f t="shared" si="44"/>
        <v>OK</v>
      </c>
      <c r="W60" s="214" t="str">
        <f t="shared" si="44"/>
        <v>OK</v>
      </c>
      <c r="X60" s="214" t="str">
        <f t="shared" si="44"/>
        <v>OK</v>
      </c>
      <c r="Y60" s="214" t="str">
        <f t="shared" si="44"/>
        <v>OK</v>
      </c>
      <c r="Z60" s="214" t="str">
        <f t="shared" si="44"/>
        <v>OK</v>
      </c>
      <c r="AA60" s="214" t="str">
        <f t="shared" si="44"/>
        <v>OK</v>
      </c>
      <c r="AB60" s="214" t="str">
        <f t="shared" si="44"/>
        <v>OK</v>
      </c>
      <c r="AC60" s="214" t="str">
        <f t="shared" si="44"/>
        <v>OK</v>
      </c>
      <c r="AD60" s="214" t="str">
        <f t="shared" si="44"/>
        <v>OK</v>
      </c>
      <c r="AE60" s="214" t="str">
        <f t="shared" si="44"/>
        <v>OK</v>
      </c>
      <c r="AF60" s="214" t="str">
        <f t="shared" si="44"/>
        <v>OK</v>
      </c>
      <c r="AG60" s="214" t="str">
        <f t="shared" si="44"/>
        <v>OK</v>
      </c>
      <c r="AH60" s="214" t="str">
        <f t="shared" si="44"/>
        <v>OK</v>
      </c>
      <c r="AI60" s="214" t="str">
        <f t="shared" si="44"/>
        <v>OK</v>
      </c>
      <c r="AJ60" s="214" t="str">
        <f t="shared" si="44"/>
        <v>OK</v>
      </c>
      <c r="AK60" s="214" t="str">
        <f t="shared" si="44"/>
        <v>OK</v>
      </c>
      <c r="AL60" s="214" t="str">
        <f t="shared" si="44"/>
        <v>OK</v>
      </c>
      <c r="AM60" s="214" t="str">
        <f t="shared" si="44"/>
        <v>OK</v>
      </c>
      <c r="AN60" s="214" t="str">
        <f t="shared" si="44"/>
        <v>OK</v>
      </c>
      <c r="AO60" s="214" t="str">
        <f t="shared" si="44"/>
        <v>OK</v>
      </c>
      <c r="AP60" s="214" t="str">
        <f t="shared" si="44"/>
        <v>OK</v>
      </c>
      <c r="AQ60" s="214" t="str">
        <f t="shared" si="44"/>
        <v>OK</v>
      </c>
      <c r="AR60" s="214" t="str">
        <f t="shared" si="44"/>
        <v>OK</v>
      </c>
      <c r="AS60" s="214" t="str">
        <f t="shared" si="44"/>
        <v>OK</v>
      </c>
      <c r="AT60" s="214" t="str">
        <f t="shared" si="44"/>
        <v>OK</v>
      </c>
      <c r="AU60" s="214" t="str">
        <f t="shared" si="44"/>
        <v>OK</v>
      </c>
      <c r="AV60" s="214" t="str">
        <f t="shared" si="44"/>
        <v>OK</v>
      </c>
      <c r="AW60" s="214" t="str">
        <f t="shared" si="44"/>
        <v>OK</v>
      </c>
      <c r="AX60" s="214" t="str">
        <f t="shared" si="44"/>
        <v>OK</v>
      </c>
      <c r="AY60" s="214" t="str">
        <f t="shared" si="44"/>
        <v>OK</v>
      </c>
      <c r="AZ60" s="214" t="str">
        <f t="shared" si="44"/>
        <v>OK</v>
      </c>
      <c r="BA60" s="214" t="str">
        <f t="shared" si="44"/>
        <v>OK</v>
      </c>
      <c r="BB60" s="214" t="str">
        <f t="shared" si="44"/>
        <v>OK</v>
      </c>
      <c r="BC60" s="214" t="str">
        <f t="shared" si="44"/>
        <v>OK</v>
      </c>
      <c r="BD60" s="214" t="str">
        <f t="shared" si="44"/>
        <v>OK</v>
      </c>
      <c r="BE60" s="214" t="str">
        <f t="shared" si="44"/>
        <v>OK</v>
      </c>
      <c r="BF60" s="214" t="str">
        <f t="shared" si="44"/>
        <v>OK</v>
      </c>
      <c r="BG60" s="214" t="str">
        <f t="shared" si="44"/>
        <v>OK</v>
      </c>
      <c r="BH60" s="214" t="str">
        <f t="shared" si="44"/>
        <v>OK</v>
      </c>
      <c r="BI60" s="214" t="str">
        <f t="shared" si="44"/>
        <v>OK</v>
      </c>
      <c r="BJ60" s="214" t="str">
        <f t="shared" si="44"/>
        <v>OK</v>
      </c>
      <c r="BK60" s="214" t="str">
        <f t="shared" si="44"/>
        <v>OK</v>
      </c>
      <c r="BL60" s="214"/>
      <c r="BM60" s="214"/>
    </row>
    <row r="61" ht="22.5" customHeight="1">
      <c r="A61" s="206"/>
      <c r="B61" s="206"/>
      <c r="C61" s="211" t="s">
        <v>634</v>
      </c>
      <c r="D61" s="208" t="str">
        <f t="shared" ref="D61:BK61" si="45">IF(ABS(D25-(D28+D34+D37+D43+D50))&lt;1,"OK","ERROR")</f>
        <v>OK</v>
      </c>
      <c r="E61" s="208" t="str">
        <f t="shared" si="45"/>
        <v>OK</v>
      </c>
      <c r="F61" s="208" t="str">
        <f t="shared" si="45"/>
        <v>OK</v>
      </c>
      <c r="G61" s="208" t="str">
        <f t="shared" si="45"/>
        <v>OK</v>
      </c>
      <c r="H61" s="208" t="str">
        <f t="shared" si="45"/>
        <v>OK</v>
      </c>
      <c r="I61" s="208" t="str">
        <f t="shared" si="45"/>
        <v>OK</v>
      </c>
      <c r="J61" s="208" t="str">
        <f t="shared" si="45"/>
        <v>OK</v>
      </c>
      <c r="K61" s="208" t="str">
        <f t="shared" si="45"/>
        <v>OK</v>
      </c>
      <c r="L61" s="208" t="str">
        <f t="shared" si="45"/>
        <v>OK</v>
      </c>
      <c r="M61" s="208" t="str">
        <f t="shared" si="45"/>
        <v>OK</v>
      </c>
      <c r="N61" s="208" t="str">
        <f t="shared" si="45"/>
        <v>OK</v>
      </c>
      <c r="O61" s="208" t="str">
        <f t="shared" si="45"/>
        <v>OK</v>
      </c>
      <c r="P61" s="212" t="str">
        <f t="shared" si="45"/>
        <v>OK</v>
      </c>
      <c r="Q61" s="212" t="str">
        <f t="shared" si="45"/>
        <v>OK</v>
      </c>
      <c r="R61" s="212" t="str">
        <f t="shared" si="45"/>
        <v>OK</v>
      </c>
      <c r="S61" s="212" t="str">
        <f t="shared" si="45"/>
        <v>OK</v>
      </c>
      <c r="T61" s="212" t="str">
        <f t="shared" si="45"/>
        <v>OK</v>
      </c>
      <c r="U61" s="212" t="str">
        <f t="shared" si="45"/>
        <v>OK</v>
      </c>
      <c r="V61" s="212" t="str">
        <f t="shared" si="45"/>
        <v>OK</v>
      </c>
      <c r="W61" s="212" t="str">
        <f t="shared" si="45"/>
        <v>OK</v>
      </c>
      <c r="X61" s="212" t="str">
        <f t="shared" si="45"/>
        <v>OK</v>
      </c>
      <c r="Y61" s="212" t="str">
        <f t="shared" si="45"/>
        <v>OK</v>
      </c>
      <c r="Z61" s="212" t="str">
        <f t="shared" si="45"/>
        <v>OK</v>
      </c>
      <c r="AA61" s="212" t="str">
        <f t="shared" si="45"/>
        <v>OK</v>
      </c>
      <c r="AB61" s="212" t="str">
        <f t="shared" si="45"/>
        <v>OK</v>
      </c>
      <c r="AC61" s="212" t="str">
        <f t="shared" si="45"/>
        <v>OK</v>
      </c>
      <c r="AD61" s="212" t="str">
        <f t="shared" si="45"/>
        <v>OK</v>
      </c>
      <c r="AE61" s="212" t="str">
        <f t="shared" si="45"/>
        <v>OK</v>
      </c>
      <c r="AF61" s="212" t="str">
        <f t="shared" si="45"/>
        <v>OK</v>
      </c>
      <c r="AG61" s="212" t="str">
        <f t="shared" si="45"/>
        <v>OK</v>
      </c>
      <c r="AH61" s="212" t="str">
        <f t="shared" si="45"/>
        <v>OK</v>
      </c>
      <c r="AI61" s="212" t="str">
        <f t="shared" si="45"/>
        <v>OK</v>
      </c>
      <c r="AJ61" s="212" t="str">
        <f t="shared" si="45"/>
        <v>OK</v>
      </c>
      <c r="AK61" s="212" t="str">
        <f t="shared" si="45"/>
        <v>OK</v>
      </c>
      <c r="AL61" s="212" t="str">
        <f t="shared" si="45"/>
        <v>OK</v>
      </c>
      <c r="AM61" s="212" t="str">
        <f t="shared" si="45"/>
        <v>OK</v>
      </c>
      <c r="AN61" s="212" t="str">
        <f t="shared" si="45"/>
        <v>OK</v>
      </c>
      <c r="AO61" s="212" t="str">
        <f t="shared" si="45"/>
        <v>OK</v>
      </c>
      <c r="AP61" s="212" t="str">
        <f t="shared" si="45"/>
        <v>OK</v>
      </c>
      <c r="AQ61" s="212" t="str">
        <f t="shared" si="45"/>
        <v>OK</v>
      </c>
      <c r="AR61" s="212" t="str">
        <f t="shared" si="45"/>
        <v>OK</v>
      </c>
      <c r="AS61" s="212" t="str">
        <f t="shared" si="45"/>
        <v>OK</v>
      </c>
      <c r="AT61" s="212" t="str">
        <f t="shared" si="45"/>
        <v>OK</v>
      </c>
      <c r="AU61" s="212" t="str">
        <f t="shared" si="45"/>
        <v>OK</v>
      </c>
      <c r="AV61" s="212" t="str">
        <f t="shared" si="45"/>
        <v>OK</v>
      </c>
      <c r="AW61" s="212" t="str">
        <f t="shared" si="45"/>
        <v>OK</v>
      </c>
      <c r="AX61" s="212" t="str">
        <f t="shared" si="45"/>
        <v>OK</v>
      </c>
      <c r="AY61" s="212" t="str">
        <f t="shared" si="45"/>
        <v>OK</v>
      </c>
      <c r="AZ61" s="212" t="str">
        <f t="shared" si="45"/>
        <v>OK</v>
      </c>
      <c r="BA61" s="212" t="str">
        <f t="shared" si="45"/>
        <v>OK</v>
      </c>
      <c r="BB61" s="212" t="str">
        <f t="shared" si="45"/>
        <v>OK</v>
      </c>
      <c r="BC61" s="212" t="str">
        <f t="shared" si="45"/>
        <v>OK</v>
      </c>
      <c r="BD61" s="212" t="str">
        <f t="shared" si="45"/>
        <v>OK</v>
      </c>
      <c r="BE61" s="212" t="str">
        <f t="shared" si="45"/>
        <v>OK</v>
      </c>
      <c r="BF61" s="212" t="str">
        <f t="shared" si="45"/>
        <v>OK</v>
      </c>
      <c r="BG61" s="212" t="str">
        <f t="shared" si="45"/>
        <v>OK</v>
      </c>
      <c r="BH61" s="212" t="str">
        <f t="shared" si="45"/>
        <v>OK</v>
      </c>
      <c r="BI61" s="212" t="str">
        <f t="shared" si="45"/>
        <v>OK</v>
      </c>
      <c r="BJ61" s="212" t="str">
        <f t="shared" si="45"/>
        <v>OK</v>
      </c>
      <c r="BK61" s="212" t="str">
        <f t="shared" si="45"/>
        <v>OK</v>
      </c>
      <c r="BL61" s="212"/>
      <c r="BM61" s="212"/>
    </row>
    <row r="62" ht="22.5" customHeight="1">
      <c r="A62" s="206"/>
      <c r="B62" s="206"/>
      <c r="C62" s="211" t="s">
        <v>636</v>
      </c>
      <c r="D62" s="213" t="str">
        <f t="shared" ref="D62:BK62" si="46">IF(SUMPRODUCT(--ISERROR(D$7:D$56))=0,"OK","ERROR")</f>
        <v>OK</v>
      </c>
      <c r="E62" s="213" t="str">
        <f t="shared" si="46"/>
        <v>OK</v>
      </c>
      <c r="F62" s="213" t="str">
        <f t="shared" si="46"/>
        <v>OK</v>
      </c>
      <c r="G62" s="213" t="str">
        <f t="shared" si="46"/>
        <v>OK</v>
      </c>
      <c r="H62" s="213" t="str">
        <f t="shared" si="46"/>
        <v>OK</v>
      </c>
      <c r="I62" s="213" t="str">
        <f t="shared" si="46"/>
        <v>OK</v>
      </c>
      <c r="J62" s="213" t="str">
        <f t="shared" si="46"/>
        <v>OK</v>
      </c>
      <c r="K62" s="213" t="str">
        <f t="shared" si="46"/>
        <v>OK</v>
      </c>
      <c r="L62" s="213" t="str">
        <f t="shared" si="46"/>
        <v>OK</v>
      </c>
      <c r="M62" s="213" t="str">
        <f t="shared" si="46"/>
        <v>OK</v>
      </c>
      <c r="N62" s="213" t="str">
        <f t="shared" si="46"/>
        <v>OK</v>
      </c>
      <c r="O62" s="213" t="str">
        <f t="shared" si="46"/>
        <v>OK</v>
      </c>
      <c r="P62" s="214" t="str">
        <f t="shared" si="46"/>
        <v>OK</v>
      </c>
      <c r="Q62" s="214" t="str">
        <f t="shared" si="46"/>
        <v>OK</v>
      </c>
      <c r="R62" s="214" t="str">
        <f t="shared" si="46"/>
        <v>OK</v>
      </c>
      <c r="S62" s="214" t="str">
        <f t="shared" si="46"/>
        <v>OK</v>
      </c>
      <c r="T62" s="214" t="str">
        <f t="shared" si="46"/>
        <v>OK</v>
      </c>
      <c r="U62" s="214" t="str">
        <f t="shared" si="46"/>
        <v>OK</v>
      </c>
      <c r="V62" s="214" t="str">
        <f t="shared" si="46"/>
        <v>OK</v>
      </c>
      <c r="W62" s="214" t="str">
        <f t="shared" si="46"/>
        <v>OK</v>
      </c>
      <c r="X62" s="214" t="str">
        <f t="shared" si="46"/>
        <v>OK</v>
      </c>
      <c r="Y62" s="214" t="str">
        <f t="shared" si="46"/>
        <v>OK</v>
      </c>
      <c r="Z62" s="214" t="str">
        <f t="shared" si="46"/>
        <v>OK</v>
      </c>
      <c r="AA62" s="214" t="str">
        <f t="shared" si="46"/>
        <v>OK</v>
      </c>
      <c r="AB62" s="214" t="str">
        <f t="shared" si="46"/>
        <v>OK</v>
      </c>
      <c r="AC62" s="214" t="str">
        <f t="shared" si="46"/>
        <v>OK</v>
      </c>
      <c r="AD62" s="214" t="str">
        <f t="shared" si="46"/>
        <v>OK</v>
      </c>
      <c r="AE62" s="214" t="str">
        <f t="shared" si="46"/>
        <v>OK</v>
      </c>
      <c r="AF62" s="214" t="str">
        <f t="shared" si="46"/>
        <v>OK</v>
      </c>
      <c r="AG62" s="214" t="str">
        <f t="shared" si="46"/>
        <v>OK</v>
      </c>
      <c r="AH62" s="214" t="str">
        <f t="shared" si="46"/>
        <v>OK</v>
      </c>
      <c r="AI62" s="214" t="str">
        <f t="shared" si="46"/>
        <v>OK</v>
      </c>
      <c r="AJ62" s="214" t="str">
        <f t="shared" si="46"/>
        <v>OK</v>
      </c>
      <c r="AK62" s="214" t="str">
        <f t="shared" si="46"/>
        <v>OK</v>
      </c>
      <c r="AL62" s="214" t="str">
        <f t="shared" si="46"/>
        <v>OK</v>
      </c>
      <c r="AM62" s="214" t="str">
        <f t="shared" si="46"/>
        <v>OK</v>
      </c>
      <c r="AN62" s="214" t="str">
        <f t="shared" si="46"/>
        <v>OK</v>
      </c>
      <c r="AO62" s="214" t="str">
        <f t="shared" si="46"/>
        <v>OK</v>
      </c>
      <c r="AP62" s="214" t="str">
        <f t="shared" si="46"/>
        <v>OK</v>
      </c>
      <c r="AQ62" s="214" t="str">
        <f t="shared" si="46"/>
        <v>OK</v>
      </c>
      <c r="AR62" s="214" t="str">
        <f t="shared" si="46"/>
        <v>OK</v>
      </c>
      <c r="AS62" s="214" t="str">
        <f t="shared" si="46"/>
        <v>OK</v>
      </c>
      <c r="AT62" s="214" t="str">
        <f t="shared" si="46"/>
        <v>OK</v>
      </c>
      <c r="AU62" s="214" t="str">
        <f t="shared" si="46"/>
        <v>OK</v>
      </c>
      <c r="AV62" s="214" t="str">
        <f t="shared" si="46"/>
        <v>OK</v>
      </c>
      <c r="AW62" s="214" t="str">
        <f t="shared" si="46"/>
        <v>OK</v>
      </c>
      <c r="AX62" s="214" t="str">
        <f t="shared" si="46"/>
        <v>OK</v>
      </c>
      <c r="AY62" s="214" t="str">
        <f t="shared" si="46"/>
        <v>OK</v>
      </c>
      <c r="AZ62" s="214" t="str">
        <f t="shared" si="46"/>
        <v>OK</v>
      </c>
      <c r="BA62" s="214" t="str">
        <f t="shared" si="46"/>
        <v>OK</v>
      </c>
      <c r="BB62" s="214" t="str">
        <f t="shared" si="46"/>
        <v>OK</v>
      </c>
      <c r="BC62" s="214" t="str">
        <f t="shared" si="46"/>
        <v>OK</v>
      </c>
      <c r="BD62" s="214" t="str">
        <f t="shared" si="46"/>
        <v>OK</v>
      </c>
      <c r="BE62" s="214" t="str">
        <f t="shared" si="46"/>
        <v>OK</v>
      </c>
      <c r="BF62" s="214" t="str">
        <f t="shared" si="46"/>
        <v>OK</v>
      </c>
      <c r="BG62" s="214" t="str">
        <f t="shared" si="46"/>
        <v>OK</v>
      </c>
      <c r="BH62" s="214" t="str">
        <f t="shared" si="46"/>
        <v>OK</v>
      </c>
      <c r="BI62" s="214" t="str">
        <f t="shared" si="46"/>
        <v>OK</v>
      </c>
      <c r="BJ62" s="214" t="str">
        <f t="shared" si="46"/>
        <v>OK</v>
      </c>
      <c r="BK62" s="214" t="str">
        <f t="shared" si="46"/>
        <v>OK</v>
      </c>
      <c r="BL62" s="214"/>
      <c r="BM62" s="214"/>
    </row>
    <row r="63" ht="22.5" customHeight="1">
      <c r="A63" s="206"/>
      <c r="B63" s="206"/>
      <c r="C63" s="206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209"/>
      <c r="BG63" s="209"/>
      <c r="BH63" s="209"/>
      <c r="BI63" s="209"/>
      <c r="BJ63" s="209"/>
      <c r="BK63" s="209"/>
      <c r="BL63" s="209"/>
      <c r="BM63" s="209"/>
    </row>
    <row r="64" ht="22.5" customHeight="1">
      <c r="A64" s="206"/>
      <c r="B64" s="206"/>
      <c r="C64" s="206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  <c r="BM64" s="215"/>
    </row>
    <row r="65" ht="22.5" customHeight="1">
      <c r="A65" s="206"/>
      <c r="B65" s="206"/>
      <c r="C65" s="206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09"/>
      <c r="BJ65" s="209"/>
      <c r="BK65" s="209"/>
      <c r="BL65" s="209"/>
      <c r="BM65" s="209"/>
    </row>
    <row r="66" ht="22.5" customHeight="1">
      <c r="A66" s="206"/>
      <c r="B66" s="206"/>
      <c r="C66" s="206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</row>
    <row r="67" ht="22.5" customHeight="1">
      <c r="A67" s="206"/>
      <c r="B67" s="206"/>
      <c r="C67" s="206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09"/>
      <c r="BJ67" s="209"/>
      <c r="BK67" s="209"/>
      <c r="BL67" s="209"/>
      <c r="BM67" s="209"/>
    </row>
    <row r="68" ht="22.5" customHeight="1">
      <c r="A68" s="206"/>
      <c r="B68" s="206"/>
      <c r="C68" s="206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</row>
    <row r="69" ht="22.5" customHeight="1">
      <c r="A69" s="206"/>
      <c r="B69" s="206"/>
      <c r="C69" s="206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209"/>
      <c r="BK69" s="209"/>
      <c r="BL69" s="209"/>
      <c r="BM69" s="209"/>
    </row>
    <row r="70" ht="22.5" customHeight="1">
      <c r="A70" s="206"/>
      <c r="B70" s="206"/>
      <c r="C70" s="206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</row>
    <row r="71" ht="22.5" customHeight="1">
      <c r="A71" s="206"/>
      <c r="B71" s="206"/>
      <c r="C71" s="206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</row>
  </sheetData>
  <mergeCells count="26">
    <mergeCell ref="A1:O1"/>
    <mergeCell ref="A2:C3"/>
    <mergeCell ref="D2:F2"/>
    <mergeCell ref="G2:I2"/>
    <mergeCell ref="J2:L2"/>
    <mergeCell ref="M2:O2"/>
    <mergeCell ref="BL9:BM9"/>
    <mergeCell ref="BL10:BM10"/>
    <mergeCell ref="BL11:BM11"/>
    <mergeCell ref="BL12:BM12"/>
    <mergeCell ref="BL14:BM14"/>
    <mergeCell ref="BL15:BM15"/>
    <mergeCell ref="BL16:BM16"/>
    <mergeCell ref="BL17:BM17"/>
    <mergeCell ref="BL51:BM51"/>
    <mergeCell ref="A55:C55"/>
    <mergeCell ref="A56:C56"/>
    <mergeCell ref="BL56:BM56"/>
    <mergeCell ref="A58:O58"/>
    <mergeCell ref="BL20:BM20"/>
    <mergeCell ref="BL23:BM23"/>
    <mergeCell ref="BL27:BM27"/>
    <mergeCell ref="BL29:BM29"/>
    <mergeCell ref="BL35:BM35"/>
    <mergeCell ref="BL39:BM39"/>
    <mergeCell ref="BL44:BM44"/>
  </mergeCells>
  <conditionalFormatting sqref="D59:BK62">
    <cfRule type="cellIs" dxfId="3" priority="1" stopIfTrue="1" operator="equal">
      <formula>"ERROR"</formula>
    </cfRule>
  </conditionalFormatting>
  <conditionalFormatting sqref="D55:O55">
    <cfRule type="cellIs" dxfId="4" priority="2" operator="lessThan">
      <formula>#REF!*0.89999</formula>
    </cfRule>
  </conditionalFormatting>
  <conditionalFormatting sqref="D55:O55">
    <cfRule type="cellIs" dxfId="5" priority="3" operator="greaterThan">
      <formula>#REF!*1.1000000001</formula>
    </cfRule>
  </conditionalFormatting>
  <conditionalFormatting sqref="D55:O55">
    <cfRule type="cellIs" dxfId="6" priority="4" operator="between">
      <formula>#REF!*1.1</formula>
      <formula>#REF!*0.9</formula>
    </cfRule>
  </conditionalFormatting>
  <printOptions gridLines="1" horizontalCentered="1"/>
  <pageMargins bottom="0.75" footer="0.0" header="0.0" left="0.7" right="0.7" top="0.75"/>
  <pageSetup fitToHeight="0" paperSize="44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46.63"/>
    <col customWidth="1" min="3" max="3" width="46.25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</row>
    <row r="3">
      <c r="A3" s="25"/>
      <c r="B3" s="25"/>
      <c r="C3" s="25"/>
      <c r="D3" s="30">
        <f>'Profit &amp; Loss'!D3</f>
        <v>45658</v>
      </c>
      <c r="E3" s="30">
        <f>'Profit &amp; Loss'!E3</f>
        <v>45689</v>
      </c>
      <c r="F3" s="30">
        <f>'Profit &amp; Loss'!F3</f>
        <v>45717</v>
      </c>
      <c r="G3" s="30">
        <f>'Profit &amp; Loss'!G3</f>
        <v>45748</v>
      </c>
      <c r="H3" s="30">
        <f>'Profit &amp; Loss'!H3</f>
        <v>45778</v>
      </c>
      <c r="I3" s="30">
        <f>'Profit &amp; Loss'!I3</f>
        <v>45809</v>
      </c>
      <c r="J3" s="30">
        <f>'Profit &amp; Loss'!J3</f>
        <v>45839</v>
      </c>
      <c r="K3" s="30">
        <f>'Profit &amp; Loss'!K3</f>
        <v>45870</v>
      </c>
      <c r="L3" s="30">
        <f>'Profit &amp; Loss'!L3</f>
        <v>45901</v>
      </c>
      <c r="M3" s="30">
        <f>'Profit &amp; Loss'!M3</f>
        <v>45931</v>
      </c>
      <c r="N3" s="30">
        <f>'Profit &amp; Loss'!N3</f>
        <v>45962</v>
      </c>
      <c r="O3" s="30">
        <f>'Profit &amp; Loss'!O3</f>
        <v>45992</v>
      </c>
      <c r="P3" s="30">
        <f>'Profit &amp; Loss'!P3</f>
        <v>46023</v>
      </c>
      <c r="Q3" s="30">
        <f>'Profit &amp; Loss'!Q3</f>
        <v>46054</v>
      </c>
      <c r="R3" s="30">
        <f>'Profit &amp; Loss'!R3</f>
        <v>46082</v>
      </c>
      <c r="S3" s="30">
        <f>'Profit &amp; Loss'!S3</f>
        <v>46113</v>
      </c>
      <c r="T3" s="30">
        <f>'Profit &amp; Loss'!T3</f>
        <v>46143</v>
      </c>
      <c r="U3" s="30">
        <f>'Profit &amp; Loss'!U3</f>
        <v>46174</v>
      </c>
      <c r="V3" s="30">
        <f>'Profit &amp; Loss'!V3</f>
        <v>46204</v>
      </c>
      <c r="W3" s="30">
        <f>'Profit &amp; Loss'!W3</f>
        <v>46235</v>
      </c>
      <c r="X3" s="30">
        <f>'Profit &amp; Loss'!X3</f>
        <v>46266</v>
      </c>
      <c r="Y3" s="30">
        <f>'Profit &amp; Loss'!Y3</f>
        <v>46296</v>
      </c>
      <c r="Z3" s="30">
        <f>'Profit &amp; Loss'!Z3</f>
        <v>46327</v>
      </c>
      <c r="AA3" s="30">
        <f>'Profit &amp; Loss'!AA3</f>
        <v>46357</v>
      </c>
      <c r="AB3" s="30">
        <f>'Profit &amp; Loss'!AB3</f>
        <v>46388</v>
      </c>
      <c r="AC3" s="30">
        <f>'Profit &amp; Loss'!AC3</f>
        <v>46419</v>
      </c>
      <c r="AD3" s="30">
        <f>'Profit &amp; Loss'!AD3</f>
        <v>46447</v>
      </c>
      <c r="AE3" s="30">
        <f>'Profit &amp; Loss'!AE3</f>
        <v>46478</v>
      </c>
      <c r="AF3" s="30">
        <f>'Profit &amp; Loss'!AF3</f>
        <v>46508</v>
      </c>
      <c r="AG3" s="30">
        <f>'Profit &amp; Loss'!AG3</f>
        <v>46539</v>
      </c>
      <c r="AH3" s="30">
        <f>'Profit &amp; Loss'!AH3</f>
        <v>46569</v>
      </c>
      <c r="AI3" s="30">
        <f>'Profit &amp; Loss'!AI3</f>
        <v>46600</v>
      </c>
      <c r="AJ3" s="30">
        <f>'Profit &amp; Loss'!AJ3</f>
        <v>46631</v>
      </c>
      <c r="AK3" s="30">
        <f>'Profit &amp; Loss'!AK3</f>
        <v>46661</v>
      </c>
      <c r="AL3" s="30">
        <f>'Profit &amp; Loss'!AL3</f>
        <v>46692</v>
      </c>
      <c r="AM3" s="30">
        <f>'Profit &amp; Loss'!AM3</f>
        <v>46722</v>
      </c>
      <c r="AN3" s="30">
        <f>'Profit &amp; Loss'!AN3</f>
        <v>46753</v>
      </c>
      <c r="AO3" s="30">
        <f>'Profit &amp; Loss'!AO3</f>
        <v>46784</v>
      </c>
      <c r="AP3" s="30">
        <f>'Profit &amp; Loss'!AP3</f>
        <v>46813</v>
      </c>
      <c r="AQ3" s="30">
        <f>'Profit &amp; Loss'!AQ3</f>
        <v>46844</v>
      </c>
      <c r="AR3" s="30">
        <f>'Profit &amp; Loss'!AR3</f>
        <v>46874</v>
      </c>
      <c r="AS3" s="30">
        <f>'Profit &amp; Loss'!AS3</f>
        <v>46905</v>
      </c>
      <c r="AT3" s="30">
        <f>'Profit &amp; Loss'!AT3</f>
        <v>46935</v>
      </c>
      <c r="AU3" s="30">
        <f>'Profit &amp; Loss'!AU3</f>
        <v>46966</v>
      </c>
      <c r="AV3" s="30">
        <f>'Profit &amp; Loss'!AV3</f>
        <v>46997</v>
      </c>
      <c r="AW3" s="30">
        <f>'Profit &amp; Loss'!AW3</f>
        <v>47027</v>
      </c>
      <c r="AX3" s="30">
        <f>'Profit &amp; Loss'!AX3</f>
        <v>47058</v>
      </c>
      <c r="AY3" s="30">
        <f>'Profit &amp; Loss'!AY3</f>
        <v>47088</v>
      </c>
      <c r="AZ3" s="30">
        <f>'Profit &amp; Loss'!AZ3</f>
        <v>47119</v>
      </c>
      <c r="BA3" s="30">
        <f>'Profit &amp; Loss'!BA3</f>
        <v>47150</v>
      </c>
      <c r="BB3" s="30">
        <f>'Profit &amp; Loss'!BB3</f>
        <v>47178</v>
      </c>
      <c r="BC3" s="30">
        <f>'Profit &amp; Loss'!BC3</f>
        <v>47209</v>
      </c>
      <c r="BD3" s="30">
        <f>'Profit &amp; Loss'!BD3</f>
        <v>47239</v>
      </c>
      <c r="BE3" s="30">
        <f>'Profit &amp; Loss'!BE3</f>
        <v>47270</v>
      </c>
      <c r="BF3" s="30">
        <f>'Profit &amp; Loss'!BF3</f>
        <v>47300</v>
      </c>
      <c r="BG3" s="30">
        <f>'Profit &amp; Loss'!BG3</f>
        <v>47331</v>
      </c>
      <c r="BH3" s="30">
        <f>'Profit &amp; Loss'!BH3</f>
        <v>47362</v>
      </c>
      <c r="BI3" s="30">
        <f>'Profit &amp; Loss'!BI3</f>
        <v>47392</v>
      </c>
      <c r="BJ3" s="30">
        <f>'Profit &amp; Loss'!BJ3</f>
        <v>47423</v>
      </c>
      <c r="BK3" s="30">
        <f>'Profit &amp; Loss'!BK3</f>
        <v>47453</v>
      </c>
      <c r="BL3" s="25"/>
      <c r="BM3" s="25"/>
    </row>
    <row r="4">
      <c r="A4" s="36" t="s">
        <v>106</v>
      </c>
      <c r="B4" s="25"/>
      <c r="C4" s="25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25"/>
      <c r="BM4" s="25"/>
    </row>
    <row r="5">
      <c r="A5" s="36" t="s">
        <v>113</v>
      </c>
      <c r="B5" s="40">
        <v>4.0</v>
      </c>
      <c r="C5" s="36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</row>
    <row r="6">
      <c r="A6" s="36" t="s">
        <v>120</v>
      </c>
      <c r="B6" s="40">
        <v>0.0</v>
      </c>
      <c r="C6" s="3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</row>
    <row r="7">
      <c r="A7" s="36" t="s">
        <v>123</v>
      </c>
      <c r="B7" s="40">
        <v>3.0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</row>
    <row r="8">
      <c r="A8" s="36" t="s">
        <v>126</v>
      </c>
      <c r="B8" s="40">
        <v>-30.0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</row>
    <row r="9">
      <c r="A9" s="36" t="s">
        <v>128</v>
      </c>
      <c r="B9" s="46">
        <v>0.17</v>
      </c>
      <c r="C9" s="36" t="s">
        <v>129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</row>
    <row r="10">
      <c r="A10" s="36" t="s">
        <v>131</v>
      </c>
      <c r="B10" s="40" t="s">
        <v>132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</row>
    <row r="11">
      <c r="A11" s="36" t="s">
        <v>134</v>
      </c>
      <c r="B11" s="46">
        <v>0.3</v>
      </c>
      <c r="C11" s="36" t="s">
        <v>136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</row>
    <row r="12">
      <c r="A12" s="36" t="s">
        <v>141</v>
      </c>
      <c r="B12" s="40">
        <v>30.0</v>
      </c>
      <c r="C12" s="36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</row>
    <row r="13">
      <c r="A13" s="36" t="s">
        <v>142</v>
      </c>
      <c r="B13" s="40">
        <v>500000.0</v>
      </c>
      <c r="C13" s="36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</row>
    <row r="14">
      <c r="A14" s="36" t="s">
        <v>143</v>
      </c>
      <c r="B14" s="46">
        <v>0.15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</row>
    <row r="15">
      <c r="A15" s="25" t="s">
        <v>146</v>
      </c>
      <c r="B15" s="25">
        <v>200000.0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</row>
    <row r="16">
      <c r="A16" s="36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</row>
    <row r="17">
      <c r="A17" s="36" t="s">
        <v>150</v>
      </c>
      <c r="B17" s="36"/>
      <c r="C17" s="36"/>
      <c r="D17" s="3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</row>
    <row r="18">
      <c r="A18" s="36" t="s">
        <v>153</v>
      </c>
      <c r="B18" s="40" t="s">
        <v>154</v>
      </c>
      <c r="C18" s="40" t="s">
        <v>155</v>
      </c>
      <c r="D18" s="40" t="s">
        <v>156</v>
      </c>
      <c r="E18" s="25" t="s">
        <v>157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</row>
    <row r="19">
      <c r="A19" s="36" t="s">
        <v>159</v>
      </c>
      <c r="B19" s="51">
        <v>0.0</v>
      </c>
      <c r="C19" s="51">
        <v>0.5</v>
      </c>
      <c r="D19" s="51">
        <v>0.3</v>
      </c>
      <c r="E19" s="51">
        <v>0.2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</row>
    <row r="20">
      <c r="A20" s="36" t="s">
        <v>162</v>
      </c>
      <c r="B20" s="53">
        <f>'Paso 5 Resumen Desglose de Inve'!D25+'Paso 5 Resumen Desglose de Inve'!D35+'Paso 5 Resumen Desglose de Inve'!D50+'Paso 5 Resumen Desglose de Inve'!D59+'Paso 5 Resumen Desglose de Inve'!D68</f>
        <v>3173369.849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</row>
    <row r="21">
      <c r="A21" s="25" t="s">
        <v>163</v>
      </c>
      <c r="B21" s="25">
        <f t="shared" ref="B21:E21" si="1">$B$20*B19</f>
        <v>0</v>
      </c>
      <c r="C21" s="25">
        <f t="shared" si="1"/>
        <v>1586684.924</v>
      </c>
      <c r="D21" s="25">
        <f t="shared" si="1"/>
        <v>952010.9546</v>
      </c>
      <c r="E21" s="25">
        <f t="shared" si="1"/>
        <v>634673.9697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</row>
    <row r="22">
      <c r="A22" s="3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</row>
    <row r="23">
      <c r="A23" s="36" t="s">
        <v>165</v>
      </c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</row>
    <row r="24">
      <c r="A24" s="36" t="s">
        <v>167</v>
      </c>
      <c r="B24" s="55">
        <v>0.5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</row>
    <row r="25">
      <c r="A25" s="57" t="s">
        <v>169</v>
      </c>
      <c r="B25" s="55">
        <v>0.2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</row>
    <row r="26">
      <c r="A26" s="36" t="s">
        <v>174</v>
      </c>
      <c r="B26" s="55">
        <v>0.1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</row>
    <row r="27">
      <c r="A27" s="36" t="s">
        <v>178</v>
      </c>
      <c r="B27" s="58">
        <v>0.2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</row>
    <row r="29">
      <c r="A29" s="59" t="s">
        <v>181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25"/>
      <c r="BM29" s="25"/>
    </row>
    <row r="30">
      <c r="A30" s="36" t="s">
        <v>184</v>
      </c>
      <c r="B30" s="25"/>
      <c r="C30" s="25"/>
      <c r="D30" s="63">
        <f t="array" ref="D30">IFERROR(1*INDEX('Profit &amp; Loss'!$1:$996, MATCH("Venta Total (Despues de Comisiones OTAs + Pasarelas de Pago, IVA e Impuestos)", 'Profit &amp; Loss'!$A:$A, 0), COLUMN()), 0)</f>
        <v>1000411.721</v>
      </c>
      <c r="E30" s="63">
        <f t="array" ref="E30">IFERROR(1*INDEX('Profit &amp; Loss'!$1:$996, MATCH("Venta Total (Despues de Comisiones OTAs + Pasarelas de Pago, IVA e Impuestos)", 'Profit &amp; Loss'!$A:$A, 0), COLUMN()), 0)</f>
        <v>1047043.801</v>
      </c>
      <c r="F30" s="63">
        <f t="array" ref="F30">IFERROR(1*INDEX('Profit &amp; Loss'!$1:$996, MATCH("Venta Total (Despues de Comisiones OTAs + Pasarelas de Pago, IVA e Impuestos)", 'Profit &amp; Loss'!$A:$A, 0), COLUMN()), 0)</f>
        <v>1066178.492</v>
      </c>
      <c r="G30" s="63">
        <f t="array" ref="G30">IFERROR(1*INDEX('Profit &amp; Loss'!$1:$996, MATCH("Venta Total (Despues de Comisiones OTAs + Pasarelas de Pago, IVA e Impuestos)", 'Profit &amp; Loss'!$A:$A, 0), COLUMN()), 0)</f>
        <v>1013043.526</v>
      </c>
      <c r="H30" s="63">
        <f t="array" ref="H30">IFERROR(1*INDEX('Profit &amp; Loss'!$1:$996, MATCH("Venta Total (Despues de Comisiones OTAs + Pasarelas de Pago, IVA e Impuestos)", 'Profit &amp; Loss'!$A:$A, 0), COLUMN()), 0)</f>
        <v>1037075.951</v>
      </c>
      <c r="I30" s="63">
        <f t="array" ref="I30">IFERROR(1*INDEX('Profit &amp; Loss'!$1:$996, MATCH("Venta Total (Despues de Comisiones OTAs + Pasarelas de Pago, IVA e Impuestos)", 'Profit &amp; Loss'!$A:$A, 0), COLUMN()), 0)</f>
        <v>1035263.922</v>
      </c>
      <c r="J30" s="63">
        <f t="array" ref="J30">IFERROR(1*INDEX('Profit &amp; Loss'!$1:$996, MATCH("Venta Total (Despues de Comisiones OTAs + Pasarelas de Pago, IVA e Impuestos)", 'Profit &amp; Loss'!$A:$A, 0), COLUMN()), 0)</f>
        <v>1090332.018</v>
      </c>
      <c r="K30" s="63">
        <f t="array" ref="K30">IFERROR(1*INDEX('Profit &amp; Loss'!$1:$996, MATCH("Venta Total (Despues de Comisiones OTAs + Pasarelas de Pago, IVA e Impuestos)", 'Profit &amp; Loss'!$A:$A, 0), COLUMN()), 0)</f>
        <v>1084090.541</v>
      </c>
      <c r="L30" s="63">
        <f t="array" ref="L30">IFERROR(1*INDEX('Profit &amp; Loss'!$1:$996, MATCH("Venta Total (Despues de Comisiones OTAs + Pasarelas de Pago, IVA e Impuestos)", 'Profit &amp; Loss'!$A:$A, 0), COLUMN()), 0)</f>
        <v>932159.9421</v>
      </c>
      <c r="M30" s="63">
        <f t="array" ref="M30">IFERROR(1*INDEX('Profit &amp; Loss'!$1:$996, MATCH("Venta Total (Despues de Comisiones OTAs + Pasarelas de Pago, IVA e Impuestos)", 'Profit &amp; Loss'!$A:$A, 0), COLUMN()), 0)</f>
        <v>896455.2378</v>
      </c>
      <c r="N30" s="63">
        <f t="array" ref="N30">IFERROR(1*INDEX('Profit &amp; Loss'!$1:$996, MATCH("Venta Total (Despues de Comisiones OTAs + Pasarelas de Pago, IVA e Impuestos)", 'Profit &amp; Loss'!$A:$A, 0), COLUMN()), 0)</f>
        <v>1086516.021</v>
      </c>
      <c r="O30" s="63">
        <f t="array" ref="O30">IFERROR(1*INDEX('Profit &amp; Loss'!$1:$996, MATCH("Venta Total (Despues de Comisiones OTAs + Pasarelas de Pago, IVA e Impuestos)", 'Profit &amp; Loss'!$A:$A, 0), COLUMN()), 0)</f>
        <v>994168.6331</v>
      </c>
      <c r="P30" s="63">
        <f t="array" ref="P30">IFERROR(1*INDEX('Profit &amp; Loss'!$1:$996, MATCH("Venta Total (Despues de Comisiones OTAs + Pasarelas de Pago, IVA e Impuestos)", 'Profit &amp; Loss'!$A:$A, 0), COLUMN()), 0)</f>
        <v>978002.4986</v>
      </c>
      <c r="Q30" s="63">
        <f t="array" ref="Q30">IFERROR(1*INDEX('Profit &amp; Loss'!$1:$996, MATCH("Venta Total (Despues de Comisiones OTAs + Pasarelas de Pago, IVA e Impuestos)", 'Profit &amp; Loss'!$A:$A, 0), COLUMN()), 0)</f>
        <v>1023590.019</v>
      </c>
      <c r="R30" s="63">
        <f t="array" ref="R30">IFERROR(1*INDEX('Profit &amp; Loss'!$1:$996, MATCH("Venta Total (Despues de Comisiones OTAs + Pasarelas de Pago, IVA e Impuestos)", 'Profit &amp; Loss'!$A:$A, 0), COLUMN()), 0)</f>
        <v>1042296.094</v>
      </c>
      <c r="S30" s="63">
        <f t="array" ref="S30">IFERROR(1*INDEX('Profit &amp; Loss'!$1:$996, MATCH("Venta Total (Despues de Comisiones OTAs + Pasarelas de Pago, IVA e Impuestos)", 'Profit &amp; Loss'!$A:$A, 0), COLUMN()), 0)</f>
        <v>990351.3506</v>
      </c>
      <c r="T30" s="63">
        <f t="array" ref="T30">IFERROR(1*INDEX('Profit &amp; Loss'!$1:$996, MATCH("Venta Total (Despues de Comisiones OTAs + Pasarelas de Pago, IVA e Impuestos)", 'Profit &amp; Loss'!$A:$A, 0), COLUMN()), 0)</f>
        <v>1013845.45</v>
      </c>
      <c r="U30" s="63">
        <f t="array" ref="U30">IFERROR(1*INDEX('Profit &amp; Loss'!$1:$996, MATCH("Venta Total (Despues de Comisiones OTAs + Pasarelas de Pago, IVA e Impuestos)", 'Profit &amp; Loss'!$A:$A, 0), COLUMN()), 0)</f>
        <v>1012074.01</v>
      </c>
      <c r="V30" s="63">
        <f t="array" ref="V30">IFERROR(1*INDEX('Profit &amp; Loss'!$1:$996, MATCH("Venta Total (Despues de Comisiones OTAs + Pasarelas de Pago, IVA e Impuestos)", 'Profit &amp; Loss'!$A:$A, 0), COLUMN()), 0)</f>
        <v>1065908.58</v>
      </c>
      <c r="W30" s="63">
        <f t="array" ref="W30">IFERROR(1*INDEX('Profit &amp; Loss'!$1:$996, MATCH("Venta Total (Despues de Comisiones OTAs + Pasarelas de Pago, IVA e Impuestos)", 'Profit &amp; Loss'!$A:$A, 0), COLUMN()), 0)</f>
        <v>1059806.912</v>
      </c>
      <c r="X30" s="63">
        <f t="array" ref="X30">IFERROR(1*INDEX('Profit &amp; Loss'!$1:$996, MATCH("Venta Total (Despues de Comisiones OTAs + Pasarelas de Pago, IVA e Impuestos)", 'Profit &amp; Loss'!$A:$A, 0), COLUMN()), 0)</f>
        <v>911279.5594</v>
      </c>
      <c r="Y30" s="63">
        <f t="array" ref="Y30">IFERROR(1*INDEX('Profit &amp; Loss'!$1:$996, MATCH("Venta Total (Despues de Comisiones OTAs + Pasarelas de Pago, IVA e Impuestos)", 'Profit &amp; Loss'!$A:$A, 0), COLUMN()), 0)</f>
        <v>876374.6405</v>
      </c>
      <c r="Z30" s="63">
        <f t="array" ref="Z30">IFERROR(1*INDEX('Profit &amp; Loss'!$1:$996, MATCH("Venta Total (Despues de Comisiones OTAs + Pasarelas de Pago, IVA e Impuestos)", 'Profit &amp; Loss'!$A:$A, 0), COLUMN()), 0)</f>
        <v>1062178.062</v>
      </c>
      <c r="AA30" s="63">
        <f t="array" ref="AA30">IFERROR(1*INDEX('Profit &amp; Loss'!$1:$996, MATCH("Venta Total (Despues de Comisiones OTAs + Pasarelas de Pago, IVA e Impuestos)", 'Profit &amp; Loss'!$A:$A, 0), COLUMN()), 0)</f>
        <v>971899.2557</v>
      </c>
      <c r="AB30" s="63">
        <f t="array" ref="AB30">IFERROR(1*INDEX('Profit &amp; Loss'!$1:$996, MATCH("Venta Total (Despues de Comisiones OTAs + Pasarelas de Pago, IVA e Impuestos)", 'Profit &amp; Loss'!$A:$A, 0), COLUMN()), 0)</f>
        <v>956095.2426</v>
      </c>
      <c r="AC30" s="63">
        <f t="array" ref="AC30">IFERROR(1*INDEX('Profit &amp; Loss'!$1:$996, MATCH("Venta Total (Despues de Comisiones OTAs + Pasarelas de Pago, IVA e Impuestos)", 'Profit &amp; Loss'!$A:$A, 0), COLUMN()), 0)</f>
        <v>1000661.603</v>
      </c>
      <c r="AD30" s="63">
        <f t="array" ref="AD30">IFERROR(1*INDEX('Profit &amp; Loss'!$1:$996, MATCH("Venta Total (Despues de Comisiones OTAs + Pasarelas de Pago, IVA e Impuestos)", 'Profit &amp; Loss'!$A:$A, 0), COLUMN()), 0)</f>
        <v>1018948.661</v>
      </c>
      <c r="AE30" s="63">
        <f t="array" ref="AE30">IFERROR(1*INDEX('Profit &amp; Loss'!$1:$996, MATCH("Venta Total (Despues de Comisiones OTAs + Pasarelas de Pago, IVA e Impuestos)", 'Profit &amp; Loss'!$A:$A, 0), COLUMN()), 0)</f>
        <v>968167.4803</v>
      </c>
      <c r="AF30" s="63">
        <f t="array" ref="AF30">IFERROR(1*INDEX('Profit &amp; Loss'!$1:$996, MATCH("Venta Total (Despues de Comisiones OTAs + Pasarelas de Pago, IVA e Impuestos)", 'Profit &amp; Loss'!$A:$A, 0), COLUMN()), 0)</f>
        <v>991135.312</v>
      </c>
      <c r="AG30" s="63">
        <f t="array" ref="AG30">IFERROR(1*INDEX('Profit &amp; Loss'!$1:$996, MATCH("Venta Total (Despues de Comisiones OTAs + Pasarelas de Pago, IVA e Impuestos)", 'Profit &amp; Loss'!$A:$A, 0), COLUMN()), 0)</f>
        <v>989403.5519</v>
      </c>
      <c r="AH30" s="63">
        <f t="array" ref="AH30">IFERROR(1*INDEX('Profit &amp; Loss'!$1:$996, MATCH("Venta Total (Despues de Comisiones OTAs + Pasarelas de Pago, IVA e Impuestos)", 'Profit &amp; Loss'!$A:$A, 0), COLUMN()), 0)</f>
        <v>1042032.228</v>
      </c>
      <c r="AI30" s="63">
        <f t="array" ref="AI30">IFERROR(1*INDEX('Profit &amp; Loss'!$1:$996, MATCH("Venta Total (Despues de Comisiones OTAs + Pasarelas de Pago, IVA e Impuestos)", 'Profit &amp; Loss'!$A:$A, 0), COLUMN()), 0)</f>
        <v>1036067.238</v>
      </c>
      <c r="AJ30" s="63">
        <f t="array" ref="AJ30">IFERROR(1*INDEX('Profit &amp; Loss'!$1:$996, MATCH("Venta Total (Despues de Comisiones OTAs + Pasarelas de Pago, IVA e Impuestos)", 'Profit &amp; Loss'!$A:$A, 0), COLUMN()), 0)</f>
        <v>890866.8972</v>
      </c>
      <c r="AK30" s="63">
        <f t="array" ref="AK30">IFERROR(1*INDEX('Profit &amp; Loss'!$1:$996, MATCH("Venta Total (Despues de Comisiones OTAs + Pasarelas de Pago, IVA e Impuestos)", 'Profit &amp; Loss'!$A:$A, 0), COLUMN()), 0)</f>
        <v>856743.8485</v>
      </c>
      <c r="AL30" s="63">
        <f t="array" ref="AL30">IFERROR(1*INDEX('Profit &amp; Loss'!$1:$996, MATCH("Venta Total (Despues de Comisiones OTAs + Pasarelas de Pago, IVA e Impuestos)", 'Profit &amp; Loss'!$A:$A, 0), COLUMN()), 0)</f>
        <v>1038385.273</v>
      </c>
      <c r="AM30" s="63">
        <f t="array" ref="AM30">IFERROR(1*INDEX('Profit &amp; Loss'!$1:$996, MATCH("Venta Total (Despues de Comisiones OTAs + Pasarelas de Pago, IVA e Impuestos)", 'Profit &amp; Loss'!$A:$A, 0), COLUMN()), 0)</f>
        <v>950128.7124</v>
      </c>
      <c r="AN30" s="63">
        <f t="array" ref="AN30">IFERROR(1*INDEX('Profit &amp; Loss'!$1:$996, MATCH("Venta Total (Despues de Comisiones OTAs + Pasarelas de Pago, IVA e Impuestos)", 'Profit &amp; Loss'!$A:$A, 0), COLUMN()), 0)</f>
        <v>934678.7092</v>
      </c>
      <c r="AO30" s="63">
        <f t="array" ref="AO30">IFERROR(1*INDEX('Profit &amp; Loss'!$1:$996, MATCH("Venta Total (Despues de Comisiones OTAs + Pasarelas de Pago, IVA e Impuestos)", 'Profit &amp; Loss'!$A:$A, 0), COLUMN()), 0)</f>
        <v>1013184.168</v>
      </c>
      <c r="AP30" s="63">
        <f t="array" ref="AP30">IFERROR(1*INDEX('Profit &amp; Loss'!$1:$996, MATCH("Venta Total (Despues de Comisiones OTAs + Pasarelas de Pago, IVA e Impuestos)", 'Profit &amp; Loss'!$A:$A, 0), COLUMN()), 0)</f>
        <v>995955.3609</v>
      </c>
      <c r="AQ30" s="63">
        <f t="array" ref="AQ30">IFERROR(1*INDEX('Profit &amp; Loss'!$1:$996, MATCH("Venta Total (Despues de Comisiones OTAs + Pasarelas de Pago, IVA e Impuestos)", 'Profit &amp; Loss'!$A:$A, 0), COLUMN()), 0)</f>
        <v>946320.0934</v>
      </c>
      <c r="AR30" s="63">
        <f t="array" ref="AR30">IFERROR(1*INDEX('Profit &amp; Loss'!$1:$996, MATCH("Venta Total (Despues de Comisiones OTAs + Pasarelas de Pago, IVA e Impuestos)", 'Profit &amp; Loss'!$A:$A, 0), COLUMN()), 0)</f>
        <v>968769.6397</v>
      </c>
      <c r="AS30" s="63">
        <f t="array" ref="AS30">IFERROR(1*INDEX('Profit &amp; Loss'!$1:$996, MATCH("Venta Total (Despues de Comisiones OTAs + Pasarelas de Pago, IVA e Impuestos)", 'Profit &amp; Loss'!$A:$A, 0), COLUMN()), 0)</f>
        <v>967076.958</v>
      </c>
      <c r="AT30" s="63">
        <f t="array" ref="AT30">IFERROR(1*INDEX('Profit &amp; Loss'!$1:$996, MATCH("Venta Total (Despues de Comisiones OTAs + Pasarelas de Pago, IVA e Impuestos)", 'Profit &amp; Loss'!$A:$A, 0), COLUMN()), 0)</f>
        <v>1018518.031</v>
      </c>
      <c r="AU30" s="63">
        <f t="array" ref="AU30">IFERROR(1*INDEX('Profit &amp; Loss'!$1:$996, MATCH("Venta Total (Despues de Comisiones OTAs + Pasarelas de Pago, IVA e Impuestos)", 'Profit &amp; Loss'!$A:$A, 0), COLUMN()), 0)</f>
        <v>1012687.644</v>
      </c>
      <c r="AV30" s="63">
        <f t="array" ref="AV30">IFERROR(1*INDEX('Profit &amp; Loss'!$1:$996, MATCH("Venta Total (Despues de Comisiones OTAs + Pasarelas de Pago, IVA e Impuestos)", 'Profit &amp; Loss'!$A:$A, 0), COLUMN()), 0)</f>
        <v>870763.8529</v>
      </c>
      <c r="AW30" s="63">
        <f t="array" ref="AW30">IFERROR(1*INDEX('Profit &amp; Loss'!$1:$996, MATCH("Venta Total (Despues de Comisiones OTAs + Pasarelas de Pago, IVA e Impuestos)", 'Profit &amp; Loss'!$A:$A, 0), COLUMN()), 0)</f>
        <v>837410.815</v>
      </c>
      <c r="AX30" s="63">
        <f t="array" ref="AX30">IFERROR(1*INDEX('Profit &amp; Loss'!$1:$996, MATCH("Venta Total (Despues de Comisiones OTAs + Pasarelas de Pago, IVA e Impuestos)", 'Profit &amp; Loss'!$A:$A, 0), COLUMN()), 0)</f>
        <v>1014953.372</v>
      </c>
      <c r="AY30" s="63">
        <f t="array" ref="AY30">IFERROR(1*INDEX('Profit &amp; Loss'!$1:$996, MATCH("Venta Total (Despues de Comisiones OTAs + Pasarelas de Pago, IVA e Impuestos)", 'Profit &amp; Loss'!$A:$A, 0), COLUMN()), 0)</f>
        <v>928688.3831</v>
      </c>
      <c r="AZ30" s="63">
        <f t="array" ref="AZ30">IFERROR(1*INDEX('Profit &amp; Loss'!$1:$996, MATCH("Venta Total (Despues de Comisiones OTAs + Pasarelas de Pago, IVA e Impuestos)", 'Profit &amp; Loss'!$A:$A, 0), COLUMN()), 0)</f>
        <v>913587.0202</v>
      </c>
      <c r="BA30" s="63">
        <f t="array" ref="BA30">IFERROR(1*INDEX('Profit &amp; Loss'!$1:$996, MATCH("Venta Total (Despues de Comisiones OTAs + Pasarelas de Pago, IVA e Impuestos)", 'Profit &amp; Loss'!$A:$A, 0), COLUMN()), 0)</f>
        <v>956171.9495</v>
      </c>
      <c r="BB30" s="63">
        <f t="array" ref="BB30">IFERROR(1*INDEX('Profit &amp; Loss'!$1:$996, MATCH("Venta Total (Despues de Comisiones OTAs + Pasarelas de Pago, IVA e Impuestos)", 'Profit &amp; Loss'!$A:$A, 0), COLUMN()), 0)</f>
        <v>973645.9609</v>
      </c>
      <c r="BC30" s="63">
        <f t="array" ref="BC30">IFERROR(1*INDEX('Profit &amp; Loss'!$1:$996, MATCH("Venta Total (Despues de Comisiones OTAs + Pasarelas de Pago, IVA e Impuestos)", 'Profit &amp; Loss'!$A:$A, 0), COLUMN()), 0)</f>
        <v>925122.5233</v>
      </c>
      <c r="BD30" s="63">
        <f t="array" ref="BD30">IFERROR(1*INDEX('Profit &amp; Loss'!$1:$996, MATCH("Venta Total (Despues de Comisiones OTAs + Pasarelas de Pago, IVA e Impuestos)", 'Profit &amp; Loss'!$A:$A, 0), COLUMN()), 0)</f>
        <v>947069.1998</v>
      </c>
      <c r="BE30" s="63">
        <f t="array" ref="BE30">IFERROR(1*INDEX('Profit &amp; Loss'!$1:$996, MATCH("Venta Total (Despues de Comisiones OTAs + Pasarelas de Pago, IVA e Impuestos)", 'Profit &amp; Loss'!$A:$A, 0), COLUMN()), 0)</f>
        <v>945414.4341</v>
      </c>
      <c r="BF30" s="63">
        <f t="array" ref="BF30">IFERROR(1*INDEX('Profit &amp; Loss'!$1:$996, MATCH("Venta Total (Despues de Comisiones OTAs + Pasarelas de Pago, IVA e Impuestos)", 'Profit &amp; Loss'!$A:$A, 0), COLUMN()), 0)</f>
        <v>995703.2269</v>
      </c>
      <c r="BG30" s="63">
        <f t="array" ref="BG30">IFERROR(1*INDEX('Profit &amp; Loss'!$1:$996, MATCH("Venta Total (Despues de Comisiones OTAs + Pasarelas de Pago, IVA e Impuestos)", 'Profit &amp; Loss'!$A:$A, 0), COLUMN()), 0)</f>
        <v>990003.4412</v>
      </c>
      <c r="BH30" s="63">
        <f t="array" ref="BH30">IFERROR(1*INDEX('Profit &amp; Loss'!$1:$996, MATCH("Venta Total (Despues de Comisiones OTAs + Pasarelas de Pago, IVA e Impuestos)", 'Profit &amp; Loss'!$A:$A, 0), COLUMN()), 0)</f>
        <v>851258.7426</v>
      </c>
      <c r="BI30" s="63">
        <f t="array" ref="BI30">IFERROR(1*INDEX('Profit &amp; Loss'!$1:$996, MATCH("Venta Total (Despues de Comisiones OTAs + Pasarelas de Pago, IVA e Impuestos)", 'Profit &amp; Loss'!$A:$A, 0), COLUMN()), 0)</f>
        <v>818652.8127</v>
      </c>
      <c r="BJ30" s="63">
        <f t="array" ref="BJ30">IFERROR(1*INDEX('Profit &amp; Loss'!$1:$996, MATCH("Venta Total (Despues de Comisiones OTAs + Pasarelas de Pago, IVA e Impuestos)", 'Profit &amp; Loss'!$A:$A, 0), COLUMN()), 0)</f>
        <v>992218.4163</v>
      </c>
      <c r="BK30" s="63">
        <f t="array" ref="BK30">IFERROR(1*INDEX('Profit &amp; Loss'!$1:$996, MATCH("Venta Total (Despues de Comisiones OTAs + Pasarelas de Pago, IVA e Impuestos)", 'Profit &amp; Loss'!$A:$A, 0), COLUMN()), 0)</f>
        <v>907885.7633</v>
      </c>
      <c r="BL30" s="25"/>
      <c r="BM30" s="25"/>
    </row>
    <row r="31">
      <c r="A31" s="36" t="s">
        <v>210</v>
      </c>
      <c r="B31" s="25"/>
      <c r="C31" s="25"/>
      <c r="D31" s="63">
        <f t="shared" ref="D31:BK31" si="2">D30 * $B$24 * (MAX(0, 30 - $B$5)/30) + N(C30) * $B$24 * ($B$5/30)</f>
        <v>433511.7458</v>
      </c>
      <c r="E31" s="63">
        <f t="shared" si="2"/>
        <v>520413.095</v>
      </c>
      <c r="F31" s="63">
        <f t="shared" si="2"/>
        <v>531813.5999</v>
      </c>
      <c r="G31" s="63">
        <f t="shared" si="2"/>
        <v>510064.0939</v>
      </c>
      <c r="H31" s="63">
        <f t="shared" si="2"/>
        <v>516935.814</v>
      </c>
      <c r="I31" s="63">
        <f t="shared" si="2"/>
        <v>517752.7628</v>
      </c>
      <c r="J31" s="63">
        <f t="shared" si="2"/>
        <v>541494.8024</v>
      </c>
      <c r="K31" s="63">
        <f t="shared" si="2"/>
        <v>542461.3688</v>
      </c>
      <c r="L31" s="63">
        <f t="shared" si="2"/>
        <v>476208.6776</v>
      </c>
      <c r="M31" s="63">
        <f t="shared" si="2"/>
        <v>450607.9325</v>
      </c>
      <c r="N31" s="63">
        <f t="shared" si="2"/>
        <v>530587.2914</v>
      </c>
      <c r="O31" s="63">
        <f t="shared" si="2"/>
        <v>503240.809</v>
      </c>
      <c r="P31" s="63">
        <f t="shared" si="2"/>
        <v>490078.9916</v>
      </c>
      <c r="Q31" s="63">
        <f t="shared" si="2"/>
        <v>508755.8416</v>
      </c>
      <c r="R31" s="63">
        <f t="shared" si="2"/>
        <v>519900.9753</v>
      </c>
      <c r="S31" s="63">
        <f t="shared" si="2"/>
        <v>498638.6582</v>
      </c>
      <c r="T31" s="63">
        <f t="shared" si="2"/>
        <v>505356.4518</v>
      </c>
      <c r="U31" s="63">
        <f t="shared" si="2"/>
        <v>506155.1009</v>
      </c>
      <c r="V31" s="63">
        <f t="shared" si="2"/>
        <v>529365.3188</v>
      </c>
      <c r="W31" s="63">
        <f t="shared" si="2"/>
        <v>530310.2341</v>
      </c>
      <c r="X31" s="63">
        <f t="shared" si="2"/>
        <v>465541.6032</v>
      </c>
      <c r="Y31" s="63">
        <f t="shared" si="2"/>
        <v>440514.3148</v>
      </c>
      <c r="Z31" s="63">
        <f t="shared" si="2"/>
        <v>518702.1361</v>
      </c>
      <c r="AA31" s="63">
        <f t="shared" si="2"/>
        <v>491968.2149</v>
      </c>
      <c r="AB31" s="63">
        <f t="shared" si="2"/>
        <v>479101.2222</v>
      </c>
      <c r="AC31" s="63">
        <f t="shared" si="2"/>
        <v>497359.7108</v>
      </c>
      <c r="AD31" s="63">
        <f t="shared" si="2"/>
        <v>508255.1934</v>
      </c>
      <c r="AE31" s="63">
        <f t="shared" si="2"/>
        <v>487469.1522</v>
      </c>
      <c r="AF31" s="63">
        <f t="shared" si="2"/>
        <v>494036.4672</v>
      </c>
      <c r="AG31" s="63">
        <f t="shared" si="2"/>
        <v>494817.2266</v>
      </c>
      <c r="AH31" s="63">
        <f t="shared" si="2"/>
        <v>517507.5357</v>
      </c>
      <c r="AI31" s="63">
        <f t="shared" si="2"/>
        <v>518431.2849</v>
      </c>
      <c r="AJ31" s="63">
        <f t="shared" si="2"/>
        <v>455113.4713</v>
      </c>
      <c r="AK31" s="63">
        <f t="shared" si="2"/>
        <v>430646.7942</v>
      </c>
      <c r="AL31" s="63">
        <f t="shared" si="2"/>
        <v>507083.2083</v>
      </c>
      <c r="AM31" s="63">
        <f t="shared" si="2"/>
        <v>480948.1269</v>
      </c>
      <c r="AN31" s="63">
        <f t="shared" si="2"/>
        <v>468369.3548</v>
      </c>
      <c r="AO31" s="63">
        <f t="shared" si="2"/>
        <v>501358.3868</v>
      </c>
      <c r="AP31" s="63">
        <f t="shared" si="2"/>
        <v>499126.2676</v>
      </c>
      <c r="AQ31" s="63">
        <f t="shared" si="2"/>
        <v>476469.0645</v>
      </c>
      <c r="AR31" s="63">
        <f t="shared" si="2"/>
        <v>482888.1834</v>
      </c>
      <c r="AS31" s="63">
        <f t="shared" si="2"/>
        <v>483651.3244</v>
      </c>
      <c r="AT31" s="63">
        <f t="shared" si="2"/>
        <v>505829.6105</v>
      </c>
      <c r="AU31" s="63">
        <f t="shared" si="2"/>
        <v>506732.5147</v>
      </c>
      <c r="AV31" s="63">
        <f t="shared" si="2"/>
        <v>444843.5125</v>
      </c>
      <c r="AW31" s="63">
        <f t="shared" si="2"/>
        <v>420928.9434</v>
      </c>
      <c r="AX31" s="63">
        <f t="shared" si="2"/>
        <v>495640.5155</v>
      </c>
      <c r="AY31" s="63">
        <f t="shared" si="2"/>
        <v>470095.1908</v>
      </c>
      <c r="AZ31" s="63">
        <f t="shared" si="2"/>
        <v>457800.2676</v>
      </c>
      <c r="BA31" s="63">
        <f t="shared" si="2"/>
        <v>475246.9795</v>
      </c>
      <c r="BB31" s="63">
        <f t="shared" si="2"/>
        <v>485658.0463</v>
      </c>
      <c r="BC31" s="63">
        <f t="shared" si="2"/>
        <v>465796.1575</v>
      </c>
      <c r="BD31" s="63">
        <f t="shared" si="2"/>
        <v>472071.4881</v>
      </c>
      <c r="BE31" s="63">
        <f t="shared" si="2"/>
        <v>472817.5348</v>
      </c>
      <c r="BF31" s="63">
        <f t="shared" si="2"/>
        <v>494499.0273</v>
      </c>
      <c r="BG31" s="63">
        <f t="shared" si="2"/>
        <v>495381.7063</v>
      </c>
      <c r="BH31" s="63">
        <f t="shared" si="2"/>
        <v>434879.0179</v>
      </c>
      <c r="BI31" s="63">
        <f t="shared" si="2"/>
        <v>411500.135</v>
      </c>
      <c r="BJ31" s="63">
        <f t="shared" si="2"/>
        <v>484538.1679</v>
      </c>
      <c r="BK31" s="63">
        <f t="shared" si="2"/>
        <v>459565.0585</v>
      </c>
      <c r="BL31" s="25"/>
      <c r="BM31" s="25"/>
    </row>
    <row r="32">
      <c r="A32" s="36" t="s">
        <v>217</v>
      </c>
      <c r="B32" s="25"/>
      <c r="C32" s="25"/>
      <c r="D32" s="63">
        <f t="shared" ref="D32:BK32" si="3">(D30 * $B$25 / (1 - $B$9)) * (MAX(0, 30 - $B$6)/30) + (N(C30) * $B$25 / (1 - $B$9)) * ($B$6/30)</f>
        <v>241063.0653</v>
      </c>
      <c r="E32" s="63">
        <f t="shared" si="3"/>
        <v>252299.711</v>
      </c>
      <c r="F32" s="63">
        <f t="shared" si="3"/>
        <v>256910.48</v>
      </c>
      <c r="G32" s="63">
        <f t="shared" si="3"/>
        <v>244106.8736</v>
      </c>
      <c r="H32" s="63">
        <f t="shared" si="3"/>
        <v>249897.8196</v>
      </c>
      <c r="I32" s="63">
        <f t="shared" si="3"/>
        <v>249461.1859</v>
      </c>
      <c r="J32" s="63">
        <f t="shared" si="3"/>
        <v>262730.6066</v>
      </c>
      <c r="K32" s="63">
        <f t="shared" si="3"/>
        <v>261226.6363</v>
      </c>
      <c r="L32" s="63">
        <f t="shared" si="3"/>
        <v>224616.8535</v>
      </c>
      <c r="M32" s="63">
        <f t="shared" si="3"/>
        <v>216013.3103</v>
      </c>
      <c r="N32" s="63">
        <f t="shared" si="3"/>
        <v>261811.0893</v>
      </c>
      <c r="O32" s="63">
        <f t="shared" si="3"/>
        <v>239558.7068</v>
      </c>
      <c r="P32" s="63">
        <f t="shared" si="3"/>
        <v>235663.2527</v>
      </c>
      <c r="Q32" s="63">
        <f t="shared" si="3"/>
        <v>246648.1974</v>
      </c>
      <c r="R32" s="63">
        <f t="shared" si="3"/>
        <v>251155.6852</v>
      </c>
      <c r="S32" s="63">
        <f t="shared" si="3"/>
        <v>238638.8797</v>
      </c>
      <c r="T32" s="63">
        <f t="shared" si="3"/>
        <v>244300.1085</v>
      </c>
      <c r="U32" s="63">
        <f t="shared" si="3"/>
        <v>243873.2554</v>
      </c>
      <c r="V32" s="63">
        <f t="shared" si="3"/>
        <v>256845.4411</v>
      </c>
      <c r="W32" s="63">
        <f t="shared" si="3"/>
        <v>255375.1596</v>
      </c>
      <c r="X32" s="63">
        <f t="shared" si="3"/>
        <v>219585.436</v>
      </c>
      <c r="Y32" s="63">
        <f t="shared" si="3"/>
        <v>211174.6122</v>
      </c>
      <c r="Z32" s="63">
        <f t="shared" si="3"/>
        <v>255946.5209</v>
      </c>
      <c r="AA32" s="63">
        <f t="shared" si="3"/>
        <v>234192.5917</v>
      </c>
      <c r="AB32" s="63">
        <f t="shared" si="3"/>
        <v>230384.3958</v>
      </c>
      <c r="AC32" s="63">
        <f t="shared" si="3"/>
        <v>241123.2778</v>
      </c>
      <c r="AD32" s="63">
        <f t="shared" si="3"/>
        <v>245529.7979</v>
      </c>
      <c r="AE32" s="63">
        <f t="shared" si="3"/>
        <v>233293.3688</v>
      </c>
      <c r="AF32" s="63">
        <f t="shared" si="3"/>
        <v>238827.786</v>
      </c>
      <c r="AG32" s="63">
        <f t="shared" si="3"/>
        <v>238410.4944</v>
      </c>
      <c r="AH32" s="63">
        <f t="shared" si="3"/>
        <v>251092.1032</v>
      </c>
      <c r="AI32" s="63">
        <f t="shared" si="3"/>
        <v>249654.7561</v>
      </c>
      <c r="AJ32" s="63">
        <f t="shared" si="3"/>
        <v>214666.7222</v>
      </c>
      <c r="AK32" s="63">
        <f t="shared" si="3"/>
        <v>206444.3008</v>
      </c>
      <c r="AL32" s="63">
        <f t="shared" si="3"/>
        <v>250213.3188</v>
      </c>
      <c r="AM32" s="63">
        <f t="shared" si="3"/>
        <v>228946.6777</v>
      </c>
      <c r="AN32" s="63">
        <f t="shared" si="3"/>
        <v>225223.7853</v>
      </c>
      <c r="AO32" s="63">
        <f t="shared" si="3"/>
        <v>244140.7634</v>
      </c>
      <c r="AP32" s="63">
        <f t="shared" si="3"/>
        <v>239989.2436</v>
      </c>
      <c r="AQ32" s="63">
        <f t="shared" si="3"/>
        <v>228028.9382</v>
      </c>
      <c r="AR32" s="63">
        <f t="shared" si="3"/>
        <v>233438.4674</v>
      </c>
      <c r="AS32" s="63">
        <f t="shared" si="3"/>
        <v>233030.5923</v>
      </c>
      <c r="AT32" s="63">
        <f t="shared" si="3"/>
        <v>245426.0315</v>
      </c>
      <c r="AU32" s="63">
        <f t="shared" si="3"/>
        <v>244021.1192</v>
      </c>
      <c r="AV32" s="63">
        <f t="shared" si="3"/>
        <v>209822.6152</v>
      </c>
      <c r="AW32" s="63">
        <f t="shared" si="3"/>
        <v>201785.7386</v>
      </c>
      <c r="AX32" s="63">
        <f t="shared" si="3"/>
        <v>244567.0776</v>
      </c>
      <c r="AY32" s="63">
        <f t="shared" si="3"/>
        <v>223780.3333</v>
      </c>
      <c r="AZ32" s="63">
        <f t="shared" si="3"/>
        <v>220141.4506</v>
      </c>
      <c r="BA32" s="63">
        <f t="shared" si="3"/>
        <v>230402.8794</v>
      </c>
      <c r="BB32" s="63">
        <f t="shared" si="3"/>
        <v>234613.4845</v>
      </c>
      <c r="BC32" s="63">
        <f t="shared" si="3"/>
        <v>222921.09</v>
      </c>
      <c r="BD32" s="63">
        <f t="shared" si="3"/>
        <v>228209.4457</v>
      </c>
      <c r="BE32" s="63">
        <f t="shared" si="3"/>
        <v>227810.707</v>
      </c>
      <c r="BF32" s="63">
        <f t="shared" si="3"/>
        <v>239928.4884</v>
      </c>
      <c r="BG32" s="63">
        <f t="shared" si="3"/>
        <v>238555.0461</v>
      </c>
      <c r="BH32" s="63">
        <f t="shared" si="3"/>
        <v>205122.5886</v>
      </c>
      <c r="BI32" s="63">
        <f t="shared" si="3"/>
        <v>197265.738</v>
      </c>
      <c r="BJ32" s="63">
        <f t="shared" si="3"/>
        <v>239088.775</v>
      </c>
      <c r="BK32" s="63">
        <f t="shared" si="3"/>
        <v>218767.6538</v>
      </c>
      <c r="BL32" s="25"/>
      <c r="BM32" s="25"/>
    </row>
    <row r="33">
      <c r="A33" s="36" t="s">
        <v>220</v>
      </c>
      <c r="B33" s="25"/>
      <c r="C33" s="25"/>
      <c r="D33" s="63">
        <f t="shared" ref="D33:BK33" si="4">D30 * $B$26 * (MAX(0, 30 - $B$7)/30) + N(C30) * $B$26 * ($B$7/30)</f>
        <v>90037.0549</v>
      </c>
      <c r="E33" s="63">
        <f t="shared" si="4"/>
        <v>104238.0593</v>
      </c>
      <c r="F33" s="63">
        <f t="shared" si="4"/>
        <v>106426.5023</v>
      </c>
      <c r="G33" s="63">
        <f t="shared" si="4"/>
        <v>101835.7022</v>
      </c>
      <c r="H33" s="63">
        <f t="shared" si="4"/>
        <v>103467.2709</v>
      </c>
      <c r="I33" s="63">
        <f t="shared" si="4"/>
        <v>103544.5125</v>
      </c>
      <c r="J33" s="63">
        <f t="shared" si="4"/>
        <v>108482.5208</v>
      </c>
      <c r="K33" s="63">
        <f t="shared" si="4"/>
        <v>108471.4688</v>
      </c>
      <c r="L33" s="63">
        <f t="shared" si="4"/>
        <v>94735.30019</v>
      </c>
      <c r="M33" s="63">
        <f t="shared" si="4"/>
        <v>90002.57082</v>
      </c>
      <c r="N33" s="63">
        <f t="shared" si="4"/>
        <v>106750.9942</v>
      </c>
      <c r="O33" s="63">
        <f t="shared" si="4"/>
        <v>100340.3372</v>
      </c>
      <c r="P33" s="63">
        <f t="shared" si="4"/>
        <v>97961.9112</v>
      </c>
      <c r="Q33" s="63">
        <f t="shared" si="4"/>
        <v>101903.1267</v>
      </c>
      <c r="R33" s="63">
        <f t="shared" si="4"/>
        <v>104042.5486</v>
      </c>
      <c r="S33" s="63">
        <f t="shared" si="4"/>
        <v>99554.58249</v>
      </c>
      <c r="T33" s="63">
        <f t="shared" si="4"/>
        <v>101149.604</v>
      </c>
      <c r="U33" s="63">
        <f t="shared" si="4"/>
        <v>101225.1154</v>
      </c>
      <c r="V33" s="63">
        <f t="shared" si="4"/>
        <v>106052.5123</v>
      </c>
      <c r="W33" s="63">
        <f t="shared" si="4"/>
        <v>106041.7079</v>
      </c>
      <c r="X33" s="63">
        <f t="shared" si="4"/>
        <v>92613.22947</v>
      </c>
      <c r="Y33" s="63">
        <f t="shared" si="4"/>
        <v>87986.51323</v>
      </c>
      <c r="Z33" s="63">
        <f t="shared" si="4"/>
        <v>104359.772</v>
      </c>
      <c r="AA33" s="63">
        <f t="shared" si="4"/>
        <v>98092.71363</v>
      </c>
      <c r="AB33" s="63">
        <f t="shared" si="4"/>
        <v>95767.56439</v>
      </c>
      <c r="AC33" s="63">
        <f t="shared" si="4"/>
        <v>99620.49669</v>
      </c>
      <c r="AD33" s="63">
        <f t="shared" si="4"/>
        <v>101711.9955</v>
      </c>
      <c r="AE33" s="63">
        <f t="shared" si="4"/>
        <v>97324.55984</v>
      </c>
      <c r="AF33" s="63">
        <f t="shared" si="4"/>
        <v>98883.85289</v>
      </c>
      <c r="AG33" s="63">
        <f t="shared" si="4"/>
        <v>98957.67279</v>
      </c>
      <c r="AH33" s="63">
        <f t="shared" si="4"/>
        <v>103676.9361</v>
      </c>
      <c r="AI33" s="63">
        <f t="shared" si="4"/>
        <v>103666.3737</v>
      </c>
      <c r="AJ33" s="63">
        <f t="shared" si="4"/>
        <v>90538.69313</v>
      </c>
      <c r="AK33" s="63">
        <f t="shared" si="4"/>
        <v>86015.61534</v>
      </c>
      <c r="AL33" s="63">
        <f t="shared" si="4"/>
        <v>102022.1131</v>
      </c>
      <c r="AM33" s="63">
        <f t="shared" si="4"/>
        <v>95895.43684</v>
      </c>
      <c r="AN33" s="63">
        <f t="shared" si="4"/>
        <v>93622.37095</v>
      </c>
      <c r="AO33" s="63">
        <f t="shared" si="4"/>
        <v>100533.3622</v>
      </c>
      <c r="AP33" s="63">
        <f t="shared" si="4"/>
        <v>99767.82417</v>
      </c>
      <c r="AQ33" s="63">
        <f t="shared" si="4"/>
        <v>95128.36202</v>
      </c>
      <c r="AR33" s="63">
        <f t="shared" si="4"/>
        <v>96652.46851</v>
      </c>
      <c r="AS33" s="63">
        <f t="shared" si="4"/>
        <v>96724.62261</v>
      </c>
      <c r="AT33" s="63">
        <f t="shared" si="4"/>
        <v>101337.3923</v>
      </c>
      <c r="AU33" s="63">
        <f t="shared" si="4"/>
        <v>101327.0683</v>
      </c>
      <c r="AV33" s="63">
        <f t="shared" si="4"/>
        <v>88495.6232</v>
      </c>
      <c r="AW33" s="63">
        <f t="shared" si="4"/>
        <v>84074.61188</v>
      </c>
      <c r="AX33" s="63">
        <f t="shared" si="4"/>
        <v>99719.91162</v>
      </c>
      <c r="AY33" s="63">
        <f t="shared" si="4"/>
        <v>93731.48819</v>
      </c>
      <c r="AZ33" s="63">
        <f t="shared" si="4"/>
        <v>91509.71565</v>
      </c>
      <c r="BA33" s="63">
        <f t="shared" si="4"/>
        <v>95191.34566</v>
      </c>
      <c r="BB33" s="63">
        <f t="shared" si="4"/>
        <v>97189.85597</v>
      </c>
      <c r="BC33" s="63">
        <f t="shared" si="4"/>
        <v>92997.48671</v>
      </c>
      <c r="BD33" s="63">
        <f t="shared" si="4"/>
        <v>94487.45321</v>
      </c>
      <c r="BE33" s="63">
        <f t="shared" si="4"/>
        <v>94557.99107</v>
      </c>
      <c r="BF33" s="63">
        <f t="shared" si="4"/>
        <v>99067.43476</v>
      </c>
      <c r="BG33" s="63">
        <f t="shared" si="4"/>
        <v>99057.34198</v>
      </c>
      <c r="BH33" s="63">
        <f t="shared" si="4"/>
        <v>86513.32124</v>
      </c>
      <c r="BI33" s="63">
        <f t="shared" si="4"/>
        <v>82191.34057</v>
      </c>
      <c r="BJ33" s="63">
        <f t="shared" si="4"/>
        <v>97486.1856</v>
      </c>
      <c r="BK33" s="63">
        <f t="shared" si="4"/>
        <v>91631.90286</v>
      </c>
      <c r="BL33" s="25"/>
      <c r="BM33" s="25"/>
    </row>
    <row r="34">
      <c r="A34" s="36" t="s">
        <v>222</v>
      </c>
      <c r="B34" s="25"/>
      <c r="C34" s="25"/>
      <c r="D34" s="63">
        <f t="shared" ref="D34:BK34" si="5">D30 * $B$27 * (MAX(0, 30 + $B$8)/30) + E30 * $B$27 * (ABS($B$8)/30)</f>
        <v>209408.7601</v>
      </c>
      <c r="E34" s="63">
        <f t="shared" si="5"/>
        <v>213235.6984</v>
      </c>
      <c r="F34" s="63">
        <f t="shared" si="5"/>
        <v>202608.7051</v>
      </c>
      <c r="G34" s="63">
        <f t="shared" si="5"/>
        <v>207415.1903</v>
      </c>
      <c r="H34" s="63">
        <f t="shared" si="5"/>
        <v>207052.7843</v>
      </c>
      <c r="I34" s="63">
        <f t="shared" si="5"/>
        <v>218066.4035</v>
      </c>
      <c r="J34" s="63">
        <f t="shared" si="5"/>
        <v>216818.1081</v>
      </c>
      <c r="K34" s="63">
        <f t="shared" si="5"/>
        <v>186431.9884</v>
      </c>
      <c r="L34" s="63">
        <f t="shared" si="5"/>
        <v>179291.0476</v>
      </c>
      <c r="M34" s="63">
        <f t="shared" si="5"/>
        <v>217303.2041</v>
      </c>
      <c r="N34" s="63">
        <f t="shared" si="5"/>
        <v>198833.7266</v>
      </c>
      <c r="O34" s="63">
        <f t="shared" si="5"/>
        <v>195600.4997</v>
      </c>
      <c r="P34" s="63">
        <f t="shared" si="5"/>
        <v>204718.0039</v>
      </c>
      <c r="Q34" s="63">
        <f t="shared" si="5"/>
        <v>208459.2188</v>
      </c>
      <c r="R34" s="63">
        <f t="shared" si="5"/>
        <v>198070.2701</v>
      </c>
      <c r="S34" s="63">
        <f t="shared" si="5"/>
        <v>202769.09</v>
      </c>
      <c r="T34" s="63">
        <f t="shared" si="5"/>
        <v>202414.8019</v>
      </c>
      <c r="U34" s="63">
        <f t="shared" si="5"/>
        <v>213181.7161</v>
      </c>
      <c r="V34" s="63">
        <f t="shared" si="5"/>
        <v>211961.3825</v>
      </c>
      <c r="W34" s="63">
        <f t="shared" si="5"/>
        <v>182255.9119</v>
      </c>
      <c r="X34" s="63">
        <f t="shared" si="5"/>
        <v>175274.9281</v>
      </c>
      <c r="Y34" s="63">
        <f t="shared" si="5"/>
        <v>212435.6123</v>
      </c>
      <c r="Z34" s="63">
        <f t="shared" si="5"/>
        <v>194379.8511</v>
      </c>
      <c r="AA34" s="63">
        <f t="shared" si="5"/>
        <v>191219.0485</v>
      </c>
      <c r="AB34" s="63">
        <f t="shared" si="5"/>
        <v>200132.3206</v>
      </c>
      <c r="AC34" s="63">
        <f t="shared" si="5"/>
        <v>203789.7323</v>
      </c>
      <c r="AD34" s="63">
        <f t="shared" si="5"/>
        <v>193633.4961</v>
      </c>
      <c r="AE34" s="63">
        <f t="shared" si="5"/>
        <v>198227.0624</v>
      </c>
      <c r="AF34" s="63">
        <f t="shared" si="5"/>
        <v>197880.7104</v>
      </c>
      <c r="AG34" s="63">
        <f t="shared" si="5"/>
        <v>208406.4456</v>
      </c>
      <c r="AH34" s="63">
        <f t="shared" si="5"/>
        <v>207213.4475</v>
      </c>
      <c r="AI34" s="63">
        <f t="shared" si="5"/>
        <v>178173.3794</v>
      </c>
      <c r="AJ34" s="63">
        <f t="shared" si="5"/>
        <v>171348.7697</v>
      </c>
      <c r="AK34" s="63">
        <f t="shared" si="5"/>
        <v>207677.0546</v>
      </c>
      <c r="AL34" s="63">
        <f t="shared" si="5"/>
        <v>190025.7425</v>
      </c>
      <c r="AM34" s="63">
        <f t="shared" si="5"/>
        <v>186935.7418</v>
      </c>
      <c r="AN34" s="63">
        <f t="shared" si="5"/>
        <v>202636.8336</v>
      </c>
      <c r="AO34" s="63">
        <f t="shared" si="5"/>
        <v>199191.0722</v>
      </c>
      <c r="AP34" s="63">
        <f t="shared" si="5"/>
        <v>189264.0187</v>
      </c>
      <c r="AQ34" s="63">
        <f t="shared" si="5"/>
        <v>193753.9279</v>
      </c>
      <c r="AR34" s="63">
        <f t="shared" si="5"/>
        <v>193415.3916</v>
      </c>
      <c r="AS34" s="63">
        <f t="shared" si="5"/>
        <v>203703.6062</v>
      </c>
      <c r="AT34" s="63">
        <f t="shared" si="5"/>
        <v>202537.5289</v>
      </c>
      <c r="AU34" s="63">
        <f t="shared" si="5"/>
        <v>174152.7706</v>
      </c>
      <c r="AV34" s="63">
        <f t="shared" si="5"/>
        <v>167482.163</v>
      </c>
      <c r="AW34" s="63">
        <f t="shared" si="5"/>
        <v>202990.6744</v>
      </c>
      <c r="AX34" s="63">
        <f t="shared" si="5"/>
        <v>185737.6766</v>
      </c>
      <c r="AY34" s="63">
        <f t="shared" si="5"/>
        <v>182717.404</v>
      </c>
      <c r="AZ34" s="63">
        <f t="shared" si="5"/>
        <v>191234.3899</v>
      </c>
      <c r="BA34" s="63">
        <f t="shared" si="5"/>
        <v>194729.1922</v>
      </c>
      <c r="BB34" s="63">
        <f t="shared" si="5"/>
        <v>185024.5047</v>
      </c>
      <c r="BC34" s="63">
        <f t="shared" si="5"/>
        <v>189413.84</v>
      </c>
      <c r="BD34" s="63">
        <f t="shared" si="5"/>
        <v>189082.8868</v>
      </c>
      <c r="BE34" s="63">
        <f t="shared" si="5"/>
        <v>199140.6454</v>
      </c>
      <c r="BF34" s="63">
        <f t="shared" si="5"/>
        <v>198000.6882</v>
      </c>
      <c r="BG34" s="63">
        <f t="shared" si="5"/>
        <v>170251.7485</v>
      </c>
      <c r="BH34" s="63">
        <f t="shared" si="5"/>
        <v>163730.5625</v>
      </c>
      <c r="BI34" s="63">
        <f t="shared" si="5"/>
        <v>198443.6833</v>
      </c>
      <c r="BJ34" s="63">
        <f t="shared" si="5"/>
        <v>181577.1527</v>
      </c>
      <c r="BK34" s="63">
        <f t="shared" si="5"/>
        <v>0</v>
      </c>
      <c r="BL34" s="25"/>
      <c r="BM34" s="25"/>
    </row>
    <row r="35">
      <c r="A35" s="36" t="s">
        <v>226</v>
      </c>
      <c r="B35" s="25"/>
      <c r="C35" s="25"/>
      <c r="D35" s="63">
        <f t="shared" ref="D35:BK35" si="6">SUM(D31:D34)</f>
        <v>974020.6262</v>
      </c>
      <c r="E35" s="63">
        <f t="shared" si="6"/>
        <v>1090186.564</v>
      </c>
      <c r="F35" s="63">
        <f t="shared" si="6"/>
        <v>1097759.287</v>
      </c>
      <c r="G35" s="63">
        <f t="shared" si="6"/>
        <v>1063421.86</v>
      </c>
      <c r="H35" s="63">
        <f t="shared" si="6"/>
        <v>1077353.689</v>
      </c>
      <c r="I35" s="63">
        <f t="shared" si="6"/>
        <v>1088824.865</v>
      </c>
      <c r="J35" s="63">
        <f t="shared" si="6"/>
        <v>1129526.038</v>
      </c>
      <c r="K35" s="63">
        <f t="shared" si="6"/>
        <v>1098591.462</v>
      </c>
      <c r="L35" s="63">
        <f t="shared" si="6"/>
        <v>974851.8788</v>
      </c>
      <c r="M35" s="63">
        <f t="shared" si="6"/>
        <v>973927.0178</v>
      </c>
      <c r="N35" s="63">
        <f t="shared" si="6"/>
        <v>1097983.102</v>
      </c>
      <c r="O35" s="63">
        <f t="shared" si="6"/>
        <v>1038740.353</v>
      </c>
      <c r="P35" s="63">
        <f t="shared" si="6"/>
        <v>1028422.159</v>
      </c>
      <c r="Q35" s="63">
        <f t="shared" si="6"/>
        <v>1065766.385</v>
      </c>
      <c r="R35" s="63">
        <f t="shared" si="6"/>
        <v>1073169.479</v>
      </c>
      <c r="S35" s="63">
        <f t="shared" si="6"/>
        <v>1039601.21</v>
      </c>
      <c r="T35" s="63">
        <f t="shared" si="6"/>
        <v>1053220.966</v>
      </c>
      <c r="U35" s="63">
        <f t="shared" si="6"/>
        <v>1064435.188</v>
      </c>
      <c r="V35" s="63">
        <f t="shared" si="6"/>
        <v>1104224.655</v>
      </c>
      <c r="W35" s="63">
        <f t="shared" si="6"/>
        <v>1073983.014</v>
      </c>
      <c r="X35" s="63">
        <f t="shared" si="6"/>
        <v>953015.1968</v>
      </c>
      <c r="Y35" s="63">
        <f t="shared" si="6"/>
        <v>952111.0526</v>
      </c>
      <c r="Z35" s="63">
        <f t="shared" si="6"/>
        <v>1073388.28</v>
      </c>
      <c r="AA35" s="63">
        <f t="shared" si="6"/>
        <v>1015472.569</v>
      </c>
      <c r="AB35" s="63">
        <f t="shared" si="6"/>
        <v>1005385.503</v>
      </c>
      <c r="AC35" s="63">
        <f t="shared" si="6"/>
        <v>1041893.218</v>
      </c>
      <c r="AD35" s="63">
        <f t="shared" si="6"/>
        <v>1049130.483</v>
      </c>
      <c r="AE35" s="63">
        <f t="shared" si="6"/>
        <v>1016314.143</v>
      </c>
      <c r="AF35" s="63">
        <f t="shared" si="6"/>
        <v>1029628.817</v>
      </c>
      <c r="AG35" s="63">
        <f t="shared" si="6"/>
        <v>1040591.839</v>
      </c>
      <c r="AH35" s="63">
        <f t="shared" si="6"/>
        <v>1079490.022</v>
      </c>
      <c r="AI35" s="63">
        <f t="shared" si="6"/>
        <v>1049925.794</v>
      </c>
      <c r="AJ35" s="63">
        <f t="shared" si="6"/>
        <v>931667.6564</v>
      </c>
      <c r="AK35" s="63">
        <f t="shared" si="6"/>
        <v>930783.765</v>
      </c>
      <c r="AL35" s="63">
        <f t="shared" si="6"/>
        <v>1049344.383</v>
      </c>
      <c r="AM35" s="63">
        <f t="shared" si="6"/>
        <v>992725.9833</v>
      </c>
      <c r="AN35" s="63">
        <f t="shared" si="6"/>
        <v>989852.3447</v>
      </c>
      <c r="AO35" s="63">
        <f t="shared" si="6"/>
        <v>1045223.585</v>
      </c>
      <c r="AP35" s="63">
        <f t="shared" si="6"/>
        <v>1028147.354</v>
      </c>
      <c r="AQ35" s="63">
        <f t="shared" si="6"/>
        <v>993380.2927</v>
      </c>
      <c r="AR35" s="63">
        <f t="shared" si="6"/>
        <v>1006394.511</v>
      </c>
      <c r="AS35" s="63">
        <f t="shared" si="6"/>
        <v>1017110.145</v>
      </c>
      <c r="AT35" s="63">
        <f t="shared" si="6"/>
        <v>1055130.563</v>
      </c>
      <c r="AU35" s="63">
        <f t="shared" si="6"/>
        <v>1026233.473</v>
      </c>
      <c r="AV35" s="63">
        <f t="shared" si="6"/>
        <v>910643.9139</v>
      </c>
      <c r="AW35" s="63">
        <f t="shared" si="6"/>
        <v>909779.9682</v>
      </c>
      <c r="AX35" s="63">
        <f t="shared" si="6"/>
        <v>1025665.181</v>
      </c>
      <c r="AY35" s="63">
        <f t="shared" si="6"/>
        <v>970324.4163</v>
      </c>
      <c r="AZ35" s="63">
        <f t="shared" si="6"/>
        <v>960685.8238</v>
      </c>
      <c r="BA35" s="63">
        <f t="shared" si="6"/>
        <v>995570.3967</v>
      </c>
      <c r="BB35" s="63">
        <f t="shared" si="6"/>
        <v>1002485.892</v>
      </c>
      <c r="BC35" s="63">
        <f t="shared" si="6"/>
        <v>971128.5741</v>
      </c>
      <c r="BD35" s="63">
        <f t="shared" si="6"/>
        <v>983851.2739</v>
      </c>
      <c r="BE35" s="63">
        <f t="shared" si="6"/>
        <v>994326.8782</v>
      </c>
      <c r="BF35" s="63">
        <f t="shared" si="6"/>
        <v>1031495.639</v>
      </c>
      <c r="BG35" s="63">
        <f t="shared" si="6"/>
        <v>1003245.843</v>
      </c>
      <c r="BH35" s="63">
        <f t="shared" si="6"/>
        <v>890245.4902</v>
      </c>
      <c r="BI35" s="63">
        <f t="shared" si="6"/>
        <v>889400.8969</v>
      </c>
      <c r="BJ35" s="63">
        <f t="shared" si="6"/>
        <v>1002690.281</v>
      </c>
      <c r="BK35" s="63">
        <f t="shared" si="6"/>
        <v>769964.6152</v>
      </c>
      <c r="BL35" s="25"/>
      <c r="BM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</row>
    <row r="37">
      <c r="A37" s="59" t="s">
        <v>253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25"/>
      <c r="BM37" s="25"/>
    </row>
    <row r="38">
      <c r="A38" s="36" t="s">
        <v>257</v>
      </c>
      <c r="B38" s="25"/>
      <c r="C38" s="25"/>
      <c r="D38" s="63">
        <f t="array" ref="D38">IFERROR(1*INDEX('Profit &amp; Loss'!$1:$996, MATCH("Reparto a Propietarios*", 'Profit &amp; Loss'!$B:$B, 0), COLUMN()-1), 0)</f>
        <v>0</v>
      </c>
      <c r="E38" s="63">
        <f t="array" ref="E38">IFERROR(1*INDEX('Profit &amp; Loss'!$1:$996, MATCH("Reparto a Propietarios*", 'Profit &amp; Loss'!$B:$B, 0), COLUMN()-1), 0)</f>
        <v>662588.4509</v>
      </c>
      <c r="F38" s="63">
        <f t="array" ref="F38">IFERROR(1*INDEX('Profit &amp; Loss'!$1:$996, MATCH("Reparto a Propietarios*", 'Profit &amp; Loss'!$B:$B, 0), COLUMN()-1), 0)</f>
        <v>698022.2867</v>
      </c>
      <c r="G38" s="63">
        <f t="array" ref="G38">IFERROR(1*INDEX('Profit &amp; Loss'!$1:$996, MATCH("Reparto a Propietarios*", 'Profit &amp; Loss'!$B:$B, 0), COLUMN()-1), 0)</f>
        <v>712786.5153</v>
      </c>
      <c r="H38" s="63">
        <f t="array" ref="H38">IFERROR(1*INDEX('Profit &amp; Loss'!$1:$996, MATCH("Reparto a Propietarios*", 'Profit &amp; Loss'!$B:$B, 0), COLUMN()-1), 0)</f>
        <v>673390.4911</v>
      </c>
      <c r="I38" s="63">
        <f t="array" ref="I38">IFERROR(1*INDEX('Profit &amp; Loss'!$1:$996, MATCH("Reparto a Propietarios*", 'Profit &amp; Loss'!$B:$B, 0), COLUMN()-1), 0)</f>
        <v>691853.0554</v>
      </c>
      <c r="J38" s="63">
        <f t="array" ref="J38">IFERROR(1*INDEX('Profit &amp; Loss'!$1:$996, MATCH("Reparto a Propietarios*", 'Profit &amp; Loss'!$B:$B, 0), COLUMN()-1), 0)</f>
        <v>690944.5507</v>
      </c>
      <c r="K38" s="63">
        <f t="array" ref="K38">IFERROR(1*INDEX('Profit &amp; Loss'!$1:$996, MATCH("Reparto a Propietarios*", 'Profit &amp; Loss'!$B:$B, 0), COLUMN()-1), 0)</f>
        <v>732679.3592</v>
      </c>
      <c r="L38" s="63">
        <f t="array" ref="L38">IFERROR(1*INDEX('Profit &amp; Loss'!$1:$996, MATCH("Reparto a Propietarios*", 'Profit &amp; Loss'!$B:$B, 0), COLUMN()-1), 0)</f>
        <v>728444.1344</v>
      </c>
      <c r="M38" s="63">
        <f t="array" ref="M38">IFERROR(1*INDEX('Profit &amp; Loss'!$1:$996, MATCH("Reparto a Propietarios*", 'Profit &amp; Loss'!$B:$B, 0), COLUMN()-1), 0)</f>
        <v>614939.7314</v>
      </c>
      <c r="N38" s="63">
        <f t="array" ref="N38">IFERROR(1*INDEX('Profit &amp; Loss'!$1:$996, MATCH("Reparto a Propietarios*", 'Profit &amp; Loss'!$B:$B, 0), COLUMN()-1), 0)</f>
        <v>588588.2276</v>
      </c>
      <c r="O38" s="63">
        <f t="array" ref="O38">IFERROR(1*INDEX('Profit &amp; Loss'!$1:$996, MATCH("Reparto a Propietarios*", 'Profit &amp; Loss'!$B:$B, 0), COLUMN()-1), 0)</f>
        <v>731572.7976</v>
      </c>
      <c r="P38" s="63">
        <f t="array" ref="P38">IFERROR(1*INDEX('Profit &amp; Loss'!$1:$996, MATCH("Reparto a Propietarios*", 'Profit &amp; Loss'!$B:$B, 0), COLUMN()-1), 0)</f>
        <v>662734.8883</v>
      </c>
      <c r="Q38" s="63">
        <f t="array" ref="Q38">IFERROR(1*INDEX('Profit &amp; Loss'!$1:$996, MATCH("Reparto a Propietarios*", 'Profit &amp; Loss'!$B:$B, 0), COLUMN()-1), 0)</f>
        <v>651044.7543</v>
      </c>
      <c r="R38" s="63">
        <f t="array" ref="R38">IFERROR(1*INDEX('Profit &amp; Loss'!$1:$996, MATCH("Reparto a Propietarios*", 'Profit &amp; Loss'!$B:$B, 0), COLUMN()-1), 0)</f>
        <v>685667.5846</v>
      </c>
      <c r="S38" s="63">
        <f t="array" ref="S38">IFERROR(1*INDEX('Profit &amp; Loss'!$1:$996, MATCH("Reparto a Propietarios*", 'Profit &amp; Loss'!$B:$B, 0), COLUMN()-1), 0)</f>
        <v>700085.5579</v>
      </c>
      <c r="T38" s="63">
        <f t="array" ref="T38">IFERROR(1*INDEX('Profit &amp; Loss'!$1:$996, MATCH("Reparto a Propietarios*", 'Profit &amp; Loss'!$B:$B, 0), COLUMN()-1), 0)</f>
        <v>661554.8891</v>
      </c>
      <c r="U38" s="63">
        <f t="array" ref="U38">IFERROR(1*INDEX('Profit &amp; Loss'!$1:$996, MATCH("Reparto a Propietarios*", 'Profit &amp; Loss'!$B:$B, 0), COLUMN()-1), 0)</f>
        <v>679587.4139</v>
      </c>
      <c r="V38" s="63">
        <f t="array" ref="V38">IFERROR(1*INDEX('Profit &amp; Loss'!$1:$996, MATCH("Reparto a Propietarios*", 'Profit &amp; Loss'!$B:$B, 0), COLUMN()-1), 0)</f>
        <v>678682.3203</v>
      </c>
      <c r="W38" s="63">
        <f t="array" ref="W38">IFERROR(1*INDEX('Profit &amp; Loss'!$1:$996, MATCH("Reparto a Propietarios*", 'Profit &amp; Loss'!$B:$B, 0), COLUMN()-1), 0)</f>
        <v>719465.9605</v>
      </c>
      <c r="X38" s="63">
        <f t="array" ref="X38">IFERROR(1*INDEX('Profit &amp; Loss'!$1:$996, MATCH("Reparto a Propietarios*", 'Profit &amp; Loss'!$B:$B, 0), COLUMN()-1), 0)</f>
        <v>715308.8396</v>
      </c>
      <c r="Y38" s="63">
        <f t="array" ref="Y38">IFERROR(1*INDEX('Profit &amp; Loss'!$1:$996, MATCH("Reparto a Propietarios*", 'Profit &amp; Loss'!$B:$B, 0), COLUMN()-1), 0)</f>
        <v>604330.2579</v>
      </c>
      <c r="Z38" s="63">
        <f t="array" ref="Z38">IFERROR(1*INDEX('Profit &amp; Loss'!$1:$996, MATCH("Reparto a Propietarios*", 'Profit &amp; Loss'!$B:$B, 0), COLUMN()-1), 0)</f>
        <v>578552.9716</v>
      </c>
      <c r="AA38" s="63">
        <f t="array" ref="AA38">IFERROR(1*INDEX('Profit &amp; Loss'!$1:$996, MATCH("Reparto a Propietarios*", 'Profit &amp; Loss'!$B:$B, 0), COLUMN()-1), 0)</f>
        <v>718318.1815</v>
      </c>
      <c r="AB38" s="63">
        <f t="array" ref="AB38">IFERROR(1*INDEX('Profit &amp; Loss'!$1:$996, MATCH("Reparto a Propietarios*", 'Profit &amp; Loss'!$B:$B, 0), COLUMN()-1), 0)</f>
        <v>651006.3505</v>
      </c>
      <c r="AC38" s="63">
        <f t="array" ref="AC38">IFERROR(1*INDEX('Profit &amp; Loss'!$1:$996, MATCH("Reparto a Propietarios*", 'Profit &amp; Loss'!$B:$B, 0), COLUMN()-1), 0)</f>
        <v>639561.7395</v>
      </c>
      <c r="AD38" s="63">
        <f t="array" ref="AD38">IFERROR(1*INDEX('Profit &amp; Loss'!$1:$996, MATCH("Reparto a Propietarios*", 'Profit &amp; Loss'!$B:$B, 0), COLUMN()-1), 0)</f>
        <v>673392.7681</v>
      </c>
      <c r="AE38" s="63">
        <f t="array" ref="AE38">IFERROR(1*INDEX('Profit &amp; Loss'!$1:$996, MATCH("Reparto a Propietarios*", 'Profit &amp; Loss'!$B:$B, 0), COLUMN()-1), 0)</f>
        <v>687473.1743</v>
      </c>
      <c r="AF38" s="63">
        <f t="array" ref="AF38">IFERROR(1*INDEX('Profit &amp; Loss'!$1:$996, MATCH("Reparto a Propietarios*", 'Profit &amp; Loss'!$B:$B, 0), COLUMN()-1), 0)</f>
        <v>649789.5038</v>
      </c>
      <c r="AG38" s="63">
        <f t="array" ref="AG38">IFERROR(1*INDEX('Profit &amp; Loss'!$1:$996, MATCH("Reparto a Propietarios*", 'Profit &amp; Loss'!$B:$B, 0), COLUMN()-1), 0)</f>
        <v>667402.6108</v>
      </c>
      <c r="AH38" s="63">
        <f t="array" ref="AH38">IFERROR(1*INDEX('Profit &amp; Loss'!$1:$996, MATCH("Reparto a Propietarios*", 'Profit &amp; Loss'!$B:$B, 0), COLUMN()-1), 0)</f>
        <v>666501.8681</v>
      </c>
      <c r="AI38" s="63">
        <f t="array" ref="AI38">IFERROR(1*INDEX('Profit &amp; Loss'!$1:$996, MATCH("Reparto a Propietarios*", 'Profit &amp; Loss'!$B:$B, 0), COLUMN()-1), 0)</f>
        <v>706356.6248</v>
      </c>
      <c r="AJ38" s="63">
        <f t="array" ref="AJ38">IFERROR(1*INDEX('Profit &amp; Loss'!$1:$996, MATCH("Reparto a Propietarios*", 'Profit &amp; Loss'!$B:$B, 0), COLUMN()-1), 0)</f>
        <v>702276.8641</v>
      </c>
      <c r="AK38" s="63">
        <f t="array" ref="AK38">IFERROR(1*INDEX('Profit &amp; Loss'!$1:$996, MATCH("Reparto a Propietarios*", 'Profit &amp; Loss'!$B:$B, 0), COLUMN()-1), 0)</f>
        <v>593768.526</v>
      </c>
      <c r="AL38" s="63">
        <f t="array" ref="AL38">IFERROR(1*INDEX('Profit &amp; Loss'!$1:$996, MATCH("Reparto a Propietarios*", 'Profit &amp; Loss'!$B:$B, 0), COLUMN()-1), 0)</f>
        <v>568553.5582</v>
      </c>
      <c r="AM38" s="63">
        <f t="array" ref="AM38">IFERROR(1*INDEX('Profit &amp; Loss'!$1:$996, MATCH("Reparto a Propietarios*", 'Profit &amp; Loss'!$B:$B, 0), COLUMN()-1), 0)</f>
        <v>705172.512</v>
      </c>
      <c r="AN38" s="63">
        <f t="array" ref="AN38">IFERROR(1*INDEX('Profit &amp; Loss'!$1:$996, MATCH("Reparto a Propietarios*", 'Profit &amp; Loss'!$B:$B, 0), COLUMN()-1), 0)</f>
        <v>639353.5284</v>
      </c>
      <c r="AO38" s="63">
        <f t="array" ref="AO38">IFERROR(1*INDEX('Profit &amp; Loss'!$1:$996, MATCH("Reparto a Propietarios*", 'Profit &amp; Loss'!$B:$B, 0), COLUMN()-1), 0)</f>
        <v>628149.921</v>
      </c>
      <c r="AP38" s="63">
        <f t="array" ref="AP38">IFERROR(1*INDEX('Profit &amp; Loss'!$1:$996, MATCH("Reparto a Propietarios*", 'Profit &amp; Loss'!$B:$B, 0), COLUMN()-1), 0)</f>
        <v>687410.898</v>
      </c>
      <c r="AQ38" s="63">
        <f t="array" ref="AQ38">IFERROR(1*INDEX('Profit &amp; Loss'!$1:$996, MATCH("Reparto a Propietarios*", 'Profit &amp; Loss'!$B:$B, 0), COLUMN()-1), 0)</f>
        <v>674844.7256</v>
      </c>
      <c r="AR38" s="63">
        <f t="array" ref="AR38">IFERROR(1*INDEX('Profit &amp; Loss'!$1:$996, MATCH("Reparto a Propietarios*", 'Profit &amp; Loss'!$B:$B, 0), COLUMN()-1), 0)</f>
        <v>637996.2932</v>
      </c>
      <c r="AS38" s="63">
        <f t="array" ref="AS38">IFERROR(1*INDEX('Profit &amp; Loss'!$1:$996, MATCH("Reparto a Propietarios*", 'Profit &amp; Loss'!$B:$B, 0), COLUMN()-1), 0)</f>
        <v>655197.3904</v>
      </c>
      <c r="AT38" s="63">
        <f t="array" ref="AT38">IFERROR(1*INDEX('Profit &amp; Loss'!$1:$996, MATCH("Reparto a Propietarios*", 'Profit &amp; Loss'!$B:$B, 0), COLUMN()-1), 0)</f>
        <v>654302.0084</v>
      </c>
      <c r="AU38" s="63">
        <f t="array" ref="AU38">IFERROR(1*INDEX('Profit &amp; Loss'!$1:$996, MATCH("Reparto a Propietarios*", 'Profit &amp; Loss'!$B:$B, 0), COLUMN()-1), 0)</f>
        <v>693243.0065</v>
      </c>
      <c r="AV38" s="63">
        <f t="array" ref="AV38">IFERROR(1*INDEX('Profit &amp; Loss'!$1:$996, MATCH("Reparto a Propietarios*", 'Profit &amp; Loss'!$B:$B, 0), COLUMN()-1), 0)</f>
        <v>689240.4973</v>
      </c>
      <c r="AW38" s="63">
        <f t="array" ref="AW38">IFERROR(1*INDEX('Profit &amp; Loss'!$1:$996, MATCH("Reparto a Propietarios*", 'Profit &amp; Loss'!$B:$B, 0), COLUMN()-1), 0)</f>
        <v>583165.9933</v>
      </c>
      <c r="AX38" s="63">
        <f t="array" ref="AX38">IFERROR(1*INDEX('Profit &amp; Loss'!$1:$996, MATCH("Reparto a Propietarios*", 'Profit &amp; Loss'!$B:$B, 0), COLUMN()-1), 0)</f>
        <v>558505.8344</v>
      </c>
      <c r="AY38" s="63">
        <f t="array" ref="AY38">IFERROR(1*INDEX('Profit &amp; Loss'!$1:$996, MATCH("Reparto a Propietarios*", 'Profit &amp; Loss'!$B:$B, 0), COLUMN()-1), 0)</f>
        <v>692027.3024</v>
      </c>
      <c r="AZ38" s="63">
        <f t="array" ref="AZ38">IFERROR(1*INDEX('Profit &amp; Loss'!$1:$996, MATCH("Reparto a Propietarios*", 'Profit &amp; Loss'!$B:$B, 0), COLUMN()-1), 0)</f>
        <v>627679.5321</v>
      </c>
      <c r="BA38" s="63">
        <f t="array" ref="BA38">IFERROR(1*INDEX('Profit &amp; Loss'!$1:$996, MATCH("Reparto a Propietarios*", 'Profit &amp; Loss'!$B:$B, 0), COLUMN()-1), 0)</f>
        <v>616714.3101</v>
      </c>
      <c r="BB38" s="63">
        <f t="array" ref="BB38">IFERROR(1*INDEX('Profit &amp; Loss'!$1:$996, MATCH("Reparto a Propietarios*", 'Profit &amp; Loss'!$B:$B, 0), COLUMN()-1), 0)</f>
        <v>649011.916</v>
      </c>
      <c r="BC38" s="63">
        <f t="array" ref="BC38">IFERROR(1*INDEX('Profit &amp; Loss'!$1:$996, MATCH("Reparto a Propietarios*", 'Profit &amp; Loss'!$B:$B, 0), COLUMN()-1), 0)</f>
        <v>662439.9832</v>
      </c>
      <c r="BD38" s="63">
        <f t="array" ref="BD38">IFERROR(1*INDEX('Profit &amp; Loss'!$1:$996, MATCH("Reparto a Propietarios*", 'Profit &amp; Loss'!$B:$B, 0), COLUMN()-1), 0)</f>
        <v>626402.7422</v>
      </c>
      <c r="BE38" s="63">
        <f t="array" ref="BE38">IFERROR(1*INDEX('Profit &amp; Loss'!$1:$996, MATCH("Reparto a Propietarios*", 'Profit &amp; Loss'!$B:$B, 0), COLUMN()-1), 0)</f>
        <v>643204.8508</v>
      </c>
      <c r="BF38" s="63">
        <f t="array" ref="BF38">IFERROR(1*INDEX('Profit &amp; Loss'!$1:$996, MATCH("Reparto a Propietarios*", 'Profit &amp; Loss'!$B:$B, 0), COLUMN()-1), 0)</f>
        <v>642315.4581</v>
      </c>
      <c r="BG38" s="63">
        <f t="array" ref="BG38">IFERROR(1*INDEX('Profit &amp; Loss'!$1:$996, MATCH("Reparto a Propietarios*", 'Profit &amp; Loss'!$B:$B, 0), COLUMN()-1), 0)</f>
        <v>680370.6346</v>
      </c>
      <c r="BH38" s="63">
        <f t="array" ref="BH38">IFERROR(1*INDEX('Profit &amp; Loss'!$1:$996, MATCH("Reparto a Propietarios*", 'Profit &amp; Loss'!$B:$B, 0), COLUMN()-1), 0)</f>
        <v>676443.859</v>
      </c>
      <c r="BI38" s="63">
        <f t="array" ref="BI38">IFERROR(1*INDEX('Profit &amp; Loss'!$1:$996, MATCH("Reparto a Propietarios*", 'Profit &amp; Loss'!$B:$B, 0), COLUMN()-1), 0)</f>
        <v>572731.5744</v>
      </c>
      <c r="BJ38" s="63">
        <f t="array" ref="BJ38">IFERROR(1*INDEX('Profit &amp; Loss'!$1:$996, MATCH("Reparto a Propietarios*", 'Profit &amp; Loss'!$B:$B, 0), COLUMN()-1), 0)</f>
        <v>548610.4693</v>
      </c>
      <c r="BK38" s="63">
        <f t="array" ref="BK38">IFERROR(1*INDEX('Profit &amp; Loss'!$1:$996, MATCH("Reparto a Propietarios*", 'Profit &amp; Loss'!$B:$B, 0), COLUMN()-1), 0)</f>
        <v>679127.3494</v>
      </c>
      <c r="BL38" s="25"/>
      <c r="BM38" s="25"/>
    </row>
    <row r="39">
      <c r="A39" s="36" t="s">
        <v>314</v>
      </c>
      <c r="B39" s="25"/>
      <c r="C39" s="25"/>
      <c r="D39" s="63">
        <f t="array" ref="D39">IFERROR(1*INDEX('Profit &amp; Loss'!$1:$996, MATCH("Convenio Limpieza*", 'Profit &amp; Loss'!$B:$B, 0), COLUMN()-1), 0)</f>
        <v>0</v>
      </c>
      <c r="E39" s="63">
        <f t="array" ref="E39">IFERROR(1*INDEX('Profit &amp; Loss'!$1:$996, MATCH("Convenio Limpieza*", 'Profit &amp; Loss'!$B:$B, 0), COLUMN()-1), 0)</f>
        <v>83334.29637</v>
      </c>
      <c r="F39" s="63">
        <f t="array" ref="F39">IFERROR(1*INDEX('Profit &amp; Loss'!$1:$996, MATCH("Convenio Limpieza*", 'Profit &amp; Loss'!$B:$B, 0), COLUMN()-1), 0)</f>
        <v>87218.74858</v>
      </c>
      <c r="G39" s="63">
        <f t="array" ref="G39">IFERROR(1*INDEX('Profit &amp; Loss'!$1:$996, MATCH("Convenio Limpieza*", 'Profit &amp; Loss'!$B:$B, 0), COLUMN()-1), 0)</f>
        <v>88812.66838</v>
      </c>
      <c r="H39" s="63">
        <f t="array" ref="H39">IFERROR(1*INDEX('Profit &amp; Loss'!$1:$996, MATCH("Convenio Limpieza*", 'Profit &amp; Loss'!$B:$B, 0), COLUMN()-1), 0)</f>
        <v>84386.52568</v>
      </c>
      <c r="I39" s="63">
        <f t="array" ref="I39">IFERROR(1*INDEX('Profit &amp; Loss'!$1:$996, MATCH("Convenio Limpieza*", 'Profit &amp; Loss'!$B:$B, 0), COLUMN()-1), 0)</f>
        <v>86388.42675</v>
      </c>
      <c r="J39" s="63">
        <f t="array" ref="J39">IFERROR(1*INDEX('Profit &amp; Loss'!$1:$996, MATCH("Convenio Limpieza*", 'Profit &amp; Loss'!$B:$B, 0), COLUMN()-1), 0)</f>
        <v>86237.48467</v>
      </c>
      <c r="K39" s="63">
        <f t="array" ref="K39">IFERROR(1*INDEX('Profit &amp; Loss'!$1:$996, MATCH("Convenio Limpieza*", 'Profit &amp; Loss'!$B:$B, 0), COLUMN()-1), 0)</f>
        <v>90824.65706</v>
      </c>
      <c r="L39" s="63">
        <f t="array" ref="L39">IFERROR(1*INDEX('Profit &amp; Loss'!$1:$996, MATCH("Convenio Limpieza*", 'Profit &amp; Loss'!$B:$B, 0), COLUMN()-1), 0)</f>
        <v>90304.74203</v>
      </c>
      <c r="M39" s="63">
        <f t="array" ref="M39">IFERROR(1*INDEX('Profit &amp; Loss'!$1:$996, MATCH("Convenio Limpieza*", 'Profit &amp; Loss'!$B:$B, 0), COLUMN()-1), 0)</f>
        <v>77648.92317</v>
      </c>
      <c r="N39" s="63">
        <f t="array" ref="N39">IFERROR(1*INDEX('Profit &amp; Loss'!$1:$996, MATCH("Convenio Limpieza*", 'Profit &amp; Loss'!$B:$B, 0), COLUMN()-1), 0)</f>
        <v>74674.72131</v>
      </c>
      <c r="O39" s="63">
        <f t="array" ref="O39">IFERROR(1*INDEX('Profit &amp; Loss'!$1:$996, MATCH("Convenio Limpieza*", 'Profit &amp; Loss'!$B:$B, 0), COLUMN()-1), 0)</f>
        <v>90506.78451</v>
      </c>
      <c r="P39" s="63">
        <f t="array" ref="P39">IFERROR(1*INDEX('Profit &amp; Loss'!$1:$996, MATCH("Convenio Limpieza*", 'Profit &amp; Loss'!$B:$B, 0), COLUMN()-1), 0)</f>
        <v>82814.24713</v>
      </c>
      <c r="Q39" s="63">
        <f t="array" ref="Q39">IFERROR(1*INDEX('Profit &amp; Loss'!$1:$996, MATCH("Convenio Limpieza*", 'Profit &amp; Loss'!$B:$B, 0), COLUMN()-1), 0)</f>
        <v>81467.60813</v>
      </c>
      <c r="R39" s="63">
        <f t="array" ref="R39">IFERROR(1*INDEX('Profit &amp; Loss'!$1:$996, MATCH("Convenio Limpieza*", 'Profit &amp; Loss'!$B:$B, 0), COLUMN()-1), 0)</f>
        <v>85265.04862</v>
      </c>
      <c r="S39" s="63">
        <f t="array" ref="S39">IFERROR(1*INDEX('Profit &amp; Loss'!$1:$996, MATCH("Convenio Limpieza*", 'Profit &amp; Loss'!$B:$B, 0), COLUMN()-1), 0)</f>
        <v>86823.26461</v>
      </c>
      <c r="T39" s="63">
        <f t="array" ref="T39">IFERROR(1*INDEX('Profit &amp; Loss'!$1:$996, MATCH("Convenio Limpieza*", 'Profit &amp; Loss'!$B:$B, 0), COLUMN()-1), 0)</f>
        <v>82496.2675</v>
      </c>
      <c r="U39" s="63">
        <f t="array" ref="U39">IFERROR(1*INDEX('Profit &amp; Loss'!$1:$996, MATCH("Convenio Limpieza*", 'Profit &amp; Loss'!$B:$B, 0), COLUMN()-1), 0)</f>
        <v>84453.326</v>
      </c>
      <c r="V39" s="63">
        <f t="array" ref="V39">IFERROR(1*INDEX('Profit &amp; Loss'!$1:$996, MATCH("Convenio Limpieza*", 'Profit &amp; Loss'!$B:$B, 0), COLUMN()-1), 0)</f>
        <v>84305.76501</v>
      </c>
      <c r="W39" s="63">
        <f t="array" ref="W39">IFERROR(1*INDEX('Profit &amp; Loss'!$1:$996, MATCH("Convenio Limpieza*", 'Profit &amp; Loss'!$B:$B, 0), COLUMN()-1), 0)</f>
        <v>88790.18475</v>
      </c>
      <c r="X39" s="63">
        <f t="array" ref="X39">IFERROR(1*INDEX('Profit &amp; Loss'!$1:$996, MATCH("Convenio Limpieza*", 'Profit &amp; Loss'!$B:$B, 0), COLUMN()-1), 0)</f>
        <v>88281.91581</v>
      </c>
      <c r="Y39" s="63">
        <f t="array" ref="Y39">IFERROR(1*INDEX('Profit &amp; Loss'!$1:$996, MATCH("Convenio Limpieza*", 'Profit &amp; Loss'!$B:$B, 0), COLUMN()-1), 0)</f>
        <v>75909.58729</v>
      </c>
      <c r="Z39" s="63">
        <f t="array" ref="Z39">IFERROR(1*INDEX('Profit &amp; Loss'!$1:$996, MATCH("Convenio Limpieza*", 'Profit &amp; Loss'!$B:$B, 0), COLUMN()-1), 0)</f>
        <v>73002.00755</v>
      </c>
      <c r="AA39" s="63">
        <f t="array" ref="AA39">IFERROR(1*INDEX('Profit &amp; Loss'!$1:$996, MATCH("Convenio Limpieza*", 'Profit &amp; Loss'!$B:$B, 0), COLUMN()-1), 0)</f>
        <v>88479.43254</v>
      </c>
      <c r="AB39" s="63">
        <f t="array" ref="AB39">IFERROR(1*INDEX('Profit &amp; Loss'!$1:$996, MATCH("Convenio Limpieza*", 'Profit &amp; Loss'!$B:$B, 0), COLUMN()-1), 0)</f>
        <v>80959.208</v>
      </c>
      <c r="AC39" s="63">
        <f t="array" ref="AC39">IFERROR(1*INDEX('Profit &amp; Loss'!$1:$996, MATCH("Convenio Limpieza*", 'Profit &amp; Loss'!$B:$B, 0), COLUMN()-1), 0)</f>
        <v>79642.73371</v>
      </c>
      <c r="AD39" s="63">
        <f t="array" ref="AD39">IFERROR(1*INDEX('Profit &amp; Loss'!$1:$996, MATCH("Convenio Limpieza*", 'Profit &amp; Loss'!$B:$B, 0), COLUMN()-1), 0)</f>
        <v>83355.11153</v>
      </c>
      <c r="AE39" s="63">
        <f t="array" ref="AE39">IFERROR(1*INDEX('Profit &amp; Loss'!$1:$996, MATCH("Convenio Limpieza*", 'Profit &amp; Loss'!$B:$B, 0), COLUMN()-1), 0)</f>
        <v>84878.42348</v>
      </c>
      <c r="AF39" s="63">
        <f t="array" ref="AF39">IFERROR(1*INDEX('Profit &amp; Loss'!$1:$996, MATCH("Convenio Limpieza*", 'Profit &amp; Loss'!$B:$B, 0), COLUMN()-1), 0)</f>
        <v>80648.35111</v>
      </c>
      <c r="AG39" s="63">
        <f t="array" ref="AG39">IFERROR(1*INDEX('Profit &amp; Loss'!$1:$996, MATCH("Convenio Limpieza*", 'Profit &amp; Loss'!$B:$B, 0), COLUMN()-1), 0)</f>
        <v>82561.57149</v>
      </c>
      <c r="AH39" s="63">
        <f t="array" ref="AH39">IFERROR(1*INDEX('Profit &amp; Loss'!$1:$996, MATCH("Convenio Limpieza*", 'Profit &amp; Loss'!$B:$B, 0), COLUMN()-1), 0)</f>
        <v>82417.31587</v>
      </c>
      <c r="AI39" s="63">
        <f t="array" ref="AI39">IFERROR(1*INDEX('Profit &amp; Loss'!$1:$996, MATCH("Convenio Limpieza*", 'Profit &amp; Loss'!$B:$B, 0), COLUMN()-1), 0)</f>
        <v>86801.28461</v>
      </c>
      <c r="AJ39" s="63">
        <f t="array" ref="AJ39">IFERROR(1*INDEX('Profit &amp; Loss'!$1:$996, MATCH("Convenio Limpieza*", 'Profit &amp; Loss'!$B:$B, 0), COLUMN()-1), 0)</f>
        <v>86304.4009</v>
      </c>
      <c r="AK39" s="63">
        <f t="array" ref="AK39">IFERROR(1*INDEX('Profit &amp; Loss'!$1:$996, MATCH("Convenio Limpieza*", 'Profit &amp; Loss'!$B:$B, 0), COLUMN()-1), 0)</f>
        <v>74209.21254</v>
      </c>
      <c r="AL39" s="63">
        <f t="array" ref="AL39">IFERROR(1*INDEX('Profit &amp; Loss'!$1:$996, MATCH("Convenio Limpieza*", 'Profit &amp; Loss'!$B:$B, 0), COLUMN()-1), 0)</f>
        <v>71366.76258</v>
      </c>
      <c r="AM39" s="63">
        <f t="array" ref="AM39">IFERROR(1*INDEX('Profit &amp; Loss'!$1:$996, MATCH("Convenio Limpieza*", 'Profit &amp; Loss'!$B:$B, 0), COLUMN()-1), 0)</f>
        <v>86497.49325</v>
      </c>
      <c r="AN39" s="63">
        <f t="array" ref="AN39">IFERROR(1*INDEX('Profit &amp; Loss'!$1:$996, MATCH("Convenio Limpieza*", 'Profit &amp; Loss'!$B:$B, 0), COLUMN()-1), 0)</f>
        <v>79145.72174</v>
      </c>
      <c r="AO39" s="63">
        <f t="array" ref="AO39">IFERROR(1*INDEX('Profit &amp; Loss'!$1:$996, MATCH("Convenio Limpieza*", 'Profit &amp; Loss'!$B:$B, 0), COLUMN()-1), 0)</f>
        <v>77858.73648</v>
      </c>
      <c r="AP39" s="63">
        <f t="array" ref="AP39">IFERROR(1*INDEX('Profit &amp; Loss'!$1:$996, MATCH("Convenio Limpieza*", 'Profit &amp; Loss'!$B:$B, 0), COLUMN()-1), 0)</f>
        <v>84398.24121</v>
      </c>
      <c r="AQ39" s="63">
        <f t="array" ref="AQ39">IFERROR(1*INDEX('Profit &amp; Loss'!$1:$996, MATCH("Convenio Limpieza*", 'Profit &amp; Loss'!$B:$B, 0), COLUMN()-1), 0)</f>
        <v>82963.08157</v>
      </c>
      <c r="AR39" s="63">
        <f t="array" ref="AR39">IFERROR(1*INDEX('Profit &amp; Loss'!$1:$996, MATCH("Convenio Limpieza*", 'Profit &amp; Loss'!$B:$B, 0), COLUMN()-1), 0)</f>
        <v>78828.46378</v>
      </c>
      <c r="AS39" s="63">
        <f t="array" ref="AS39">IFERROR(1*INDEX('Profit &amp; Loss'!$1:$996, MATCH("Convenio Limpieza*", 'Profit &amp; Loss'!$B:$B, 0), COLUMN()-1), 0)</f>
        <v>80698.51099</v>
      </c>
      <c r="AT39" s="63">
        <f t="array" ref="AT39">IFERROR(1*INDEX('Profit &amp; Loss'!$1:$996, MATCH("Convenio Limpieza*", 'Profit &amp; Loss'!$B:$B, 0), COLUMN()-1), 0)</f>
        <v>80557.5106</v>
      </c>
      <c r="AU39" s="63">
        <f t="array" ref="AU39">IFERROR(1*INDEX('Profit &amp; Loss'!$1:$996, MATCH("Convenio Limpieza*", 'Profit &amp; Loss'!$B:$B, 0), COLUMN()-1), 0)</f>
        <v>84842.55196</v>
      </c>
      <c r="AV39" s="63">
        <f t="array" ref="AV39">IFERROR(1*INDEX('Profit &amp; Loss'!$1:$996, MATCH("Convenio Limpieza*", 'Profit &amp; Loss'!$B:$B, 0), COLUMN()-1), 0)</f>
        <v>84356.88079</v>
      </c>
      <c r="AW39" s="63">
        <f t="array" ref="AW39">IFERROR(1*INDEX('Profit &amp; Loss'!$1:$996, MATCH("Convenio Limpieza*", 'Profit &amp; Loss'!$B:$B, 0), COLUMN()-1), 0)</f>
        <v>72534.62895</v>
      </c>
      <c r="AX39" s="63">
        <f t="array" ref="AX39">IFERROR(1*INDEX('Profit &amp; Loss'!$1:$996, MATCH("Convenio Limpieza*", 'Profit &amp; Loss'!$B:$B, 0), COLUMN()-1), 0)</f>
        <v>69756.32089</v>
      </c>
      <c r="AY39" s="63">
        <f t="array" ref="AY39">IFERROR(1*INDEX('Profit &amp; Loss'!$1:$996, MATCH("Convenio Limpieza*", 'Profit &amp; Loss'!$B:$B, 0), COLUMN()-1), 0)</f>
        <v>84545.61588</v>
      </c>
      <c r="AZ39" s="63">
        <f t="array" ref="AZ39">IFERROR(1*INDEX('Profit &amp; Loss'!$1:$996, MATCH("Convenio Limpieza*", 'Profit &amp; Loss'!$B:$B, 0), COLUMN()-1), 0)</f>
        <v>77359.74231</v>
      </c>
      <c r="BA39" s="63">
        <f t="array" ref="BA39">IFERROR(1*INDEX('Profit &amp; Loss'!$1:$996, MATCH("Convenio Limpieza*", 'Profit &amp; Loss'!$B:$B, 0), COLUMN()-1), 0)</f>
        <v>76101.79878</v>
      </c>
      <c r="BB39" s="63">
        <f t="array" ref="BB39">IFERROR(1*INDEX('Profit &amp; Loss'!$1:$996, MATCH("Convenio Limpieza*", 'Profit &amp; Loss'!$B:$B, 0), COLUMN()-1), 0)</f>
        <v>79649.1234</v>
      </c>
      <c r="BC39" s="63">
        <f t="array" ref="BC39">IFERROR(1*INDEX('Profit &amp; Loss'!$1:$996, MATCH("Convenio Limpieza*", 'Profit &amp; Loss'!$B:$B, 0), COLUMN()-1), 0)</f>
        <v>81104.70854</v>
      </c>
      <c r="BD39" s="63">
        <f t="array" ref="BD39">IFERROR(1*INDEX('Profit &amp; Loss'!$1:$996, MATCH("Convenio Limpieza*", 'Profit &amp; Loss'!$B:$B, 0), COLUMN()-1), 0)</f>
        <v>77062.70619</v>
      </c>
      <c r="BE39" s="63">
        <f t="array" ref="BE39">IFERROR(1*INDEX('Profit &amp; Loss'!$1:$996, MATCH("Convenio Limpieza*", 'Profit &amp; Loss'!$B:$B, 0), COLUMN()-1), 0)</f>
        <v>78890.86434</v>
      </c>
      <c r="BF39" s="63">
        <f t="array" ref="BF39">IFERROR(1*INDEX('Profit &amp; Loss'!$1:$996, MATCH("Convenio Limpieza*", 'Profit &amp; Loss'!$B:$B, 0), COLUMN()-1), 0)</f>
        <v>78753.02236</v>
      </c>
      <c r="BG39" s="63">
        <f t="array" ref="BG39">IFERROR(1*INDEX('Profit &amp; Loss'!$1:$996, MATCH("Convenio Limpieza*", 'Profit &amp; Loss'!$B:$B, 0), COLUMN()-1), 0)</f>
        <v>82942.0788</v>
      </c>
      <c r="BH39" s="63">
        <f t="array" ref="BH39">IFERROR(1*INDEX('Profit &amp; Loss'!$1:$996, MATCH("Convenio Limpieza*", 'Profit &amp; Loss'!$B:$B, 0), COLUMN()-1), 0)</f>
        <v>82467.28666</v>
      </c>
      <c r="BI39" s="63">
        <f t="array" ref="BI39">IFERROR(1*INDEX('Profit &amp; Loss'!$1:$996, MATCH("Convenio Limpieza*", 'Profit &amp; Loss'!$B:$B, 0), COLUMN()-1), 0)</f>
        <v>70909.85326</v>
      </c>
      <c r="BJ39" s="63">
        <f t="array" ref="BJ39">IFERROR(1*INDEX('Profit &amp; Loss'!$1:$996, MATCH("Convenio Limpieza*", 'Profit &amp; Loss'!$B:$B, 0), COLUMN()-1), 0)</f>
        <v>68193.7793</v>
      </c>
      <c r="BK39" s="63">
        <f t="array" ref="BK39">IFERROR(1*INDEX('Profit &amp; Loss'!$1:$996, MATCH("Convenio Limpieza*", 'Profit &amp; Loss'!$B:$B, 0), COLUMN()-1), 0)</f>
        <v>82651.79408</v>
      </c>
      <c r="BL39" s="25"/>
      <c r="BM39" s="25"/>
    </row>
    <row r="40">
      <c r="A40" s="36" t="s">
        <v>392</v>
      </c>
      <c r="B40" s="25"/>
      <c r="C40" s="25"/>
      <c r="D40" s="63">
        <f t="array" ref="D40">IFERROR(1*INDEX('Profit &amp; Loss'!$1:$996, MATCH("Gastos Operativos*", 'Profit &amp; Loss'!$A:$A, 0), COLUMN()-1), 0)</f>
        <v>0</v>
      </c>
      <c r="E40" s="63">
        <f t="array" ref="E40">IFERROR(1*INDEX('Profit &amp; Loss'!$1:$996, MATCH("Gastos Operativos*", 'Profit &amp; Loss'!$A:$A, 0), COLUMN()-1), 0)</f>
        <v>107990</v>
      </c>
      <c r="F40" s="63">
        <f t="array" ref="F40">IFERROR(1*INDEX('Profit &amp; Loss'!$1:$996, MATCH("Gastos Operativos*", 'Profit &amp; Loss'!$A:$A, 0), COLUMN()-1), 0)</f>
        <v>107990</v>
      </c>
      <c r="G40" s="63">
        <f t="array" ref="G40">IFERROR(1*INDEX('Profit &amp; Loss'!$1:$996, MATCH("Gastos Operativos*", 'Profit &amp; Loss'!$A:$A, 0), COLUMN()-1), 0)</f>
        <v>107990</v>
      </c>
      <c r="H40" s="63">
        <f t="array" ref="H40">IFERROR(1*INDEX('Profit &amp; Loss'!$1:$996, MATCH("Gastos Operativos*", 'Profit &amp; Loss'!$A:$A, 0), COLUMN()-1), 0)</f>
        <v>107990</v>
      </c>
      <c r="I40" s="63">
        <f t="array" ref="I40">IFERROR(1*INDEX('Profit &amp; Loss'!$1:$996, MATCH("Gastos Operativos*", 'Profit &amp; Loss'!$A:$A, 0), COLUMN()-1), 0)</f>
        <v>107990</v>
      </c>
      <c r="J40" s="63">
        <f t="array" ref="J40">IFERROR(1*INDEX('Profit &amp; Loss'!$1:$996, MATCH("Gastos Operativos*", 'Profit &amp; Loss'!$A:$A, 0), COLUMN()-1), 0)</f>
        <v>107990</v>
      </c>
      <c r="K40" s="63">
        <f t="array" ref="K40">IFERROR(1*INDEX('Profit &amp; Loss'!$1:$996, MATCH("Gastos Operativos*", 'Profit &amp; Loss'!$A:$A, 0), COLUMN()-1), 0)</f>
        <v>107990</v>
      </c>
      <c r="L40" s="63">
        <f t="array" ref="L40">IFERROR(1*INDEX('Profit &amp; Loss'!$1:$996, MATCH("Gastos Operativos*", 'Profit &amp; Loss'!$A:$A, 0), COLUMN()-1), 0)</f>
        <v>107990</v>
      </c>
      <c r="M40" s="63">
        <f t="array" ref="M40">IFERROR(1*INDEX('Profit &amp; Loss'!$1:$996, MATCH("Gastos Operativos*", 'Profit &amp; Loss'!$A:$A, 0), COLUMN()-1), 0)</f>
        <v>107990</v>
      </c>
      <c r="N40" s="63">
        <f t="array" ref="N40">IFERROR(1*INDEX('Profit &amp; Loss'!$1:$996, MATCH("Gastos Operativos*", 'Profit &amp; Loss'!$A:$A, 0), COLUMN()-1), 0)</f>
        <v>107990</v>
      </c>
      <c r="O40" s="63">
        <f t="array" ref="O40">IFERROR(1*INDEX('Profit &amp; Loss'!$1:$996, MATCH("Gastos Operativos*", 'Profit &amp; Loss'!$A:$A, 0), COLUMN()-1), 0)</f>
        <v>107990</v>
      </c>
      <c r="P40" s="63">
        <f t="array" ref="P40">IFERROR(1*INDEX('Profit &amp; Loss'!$1:$996, MATCH("Gastos Operativos*", 'Profit &amp; Loss'!$A:$A, 0), COLUMN()-1), 0)</f>
        <v>107990</v>
      </c>
      <c r="Q40" s="63">
        <f t="array" ref="Q40">IFERROR(1*INDEX('Profit &amp; Loss'!$1:$996, MATCH("Gastos Operativos*", 'Profit &amp; Loss'!$A:$A, 0), COLUMN()-1), 0)</f>
        <v>112797.8</v>
      </c>
      <c r="R40" s="63">
        <f t="array" ref="R40">IFERROR(1*INDEX('Profit &amp; Loss'!$1:$996, MATCH("Gastos Operativos*", 'Profit &amp; Loss'!$A:$A, 0), COLUMN()-1), 0)</f>
        <v>112797.8</v>
      </c>
      <c r="S40" s="63">
        <f t="array" ref="S40">IFERROR(1*INDEX('Profit &amp; Loss'!$1:$996, MATCH("Gastos Operativos*", 'Profit &amp; Loss'!$A:$A, 0), COLUMN()-1), 0)</f>
        <v>112797.8</v>
      </c>
      <c r="T40" s="63">
        <f t="array" ref="T40">IFERROR(1*INDEX('Profit &amp; Loss'!$1:$996, MATCH("Gastos Operativos*", 'Profit &amp; Loss'!$A:$A, 0), COLUMN()-1), 0)</f>
        <v>112797.8</v>
      </c>
      <c r="U40" s="63">
        <f t="array" ref="U40">IFERROR(1*INDEX('Profit &amp; Loss'!$1:$996, MATCH("Gastos Operativos*", 'Profit &amp; Loss'!$A:$A, 0), COLUMN()-1), 0)</f>
        <v>112797.8</v>
      </c>
      <c r="V40" s="63">
        <f t="array" ref="V40">IFERROR(1*INDEX('Profit &amp; Loss'!$1:$996, MATCH("Gastos Operativos*", 'Profit &amp; Loss'!$A:$A, 0), COLUMN()-1), 0)</f>
        <v>112797.8</v>
      </c>
      <c r="W40" s="63">
        <f t="array" ref="W40">IFERROR(1*INDEX('Profit &amp; Loss'!$1:$996, MATCH("Gastos Operativos*", 'Profit &amp; Loss'!$A:$A, 0), COLUMN()-1), 0)</f>
        <v>112797.8</v>
      </c>
      <c r="X40" s="63">
        <f t="array" ref="X40">IFERROR(1*INDEX('Profit &amp; Loss'!$1:$996, MATCH("Gastos Operativos*", 'Profit &amp; Loss'!$A:$A, 0), COLUMN()-1), 0)</f>
        <v>112797.8</v>
      </c>
      <c r="Y40" s="63">
        <f t="array" ref="Y40">IFERROR(1*INDEX('Profit &amp; Loss'!$1:$996, MATCH("Gastos Operativos*", 'Profit &amp; Loss'!$A:$A, 0), COLUMN()-1), 0)</f>
        <v>112797.8</v>
      </c>
      <c r="Z40" s="63">
        <f t="array" ref="Z40">IFERROR(1*INDEX('Profit &amp; Loss'!$1:$996, MATCH("Gastos Operativos*", 'Profit &amp; Loss'!$A:$A, 0), COLUMN()-1), 0)</f>
        <v>112797.8</v>
      </c>
      <c r="AA40" s="63">
        <f t="array" ref="AA40">IFERROR(1*INDEX('Profit &amp; Loss'!$1:$996, MATCH("Gastos Operativos*", 'Profit &amp; Loss'!$A:$A, 0), COLUMN()-1), 0)</f>
        <v>112797.8</v>
      </c>
      <c r="AB40" s="63">
        <f t="array" ref="AB40">IFERROR(1*INDEX('Profit &amp; Loss'!$1:$996, MATCH("Gastos Operativos*", 'Profit &amp; Loss'!$A:$A, 0), COLUMN()-1), 0)</f>
        <v>112797.8</v>
      </c>
      <c r="AC40" s="63">
        <f t="array" ref="AC40">IFERROR(1*INDEX('Profit &amp; Loss'!$1:$996, MATCH("Gastos Operativos*", 'Profit &amp; Loss'!$A:$A, 0), COLUMN()-1), 0)</f>
        <v>117821.951</v>
      </c>
      <c r="AD40" s="63">
        <f t="array" ref="AD40">IFERROR(1*INDEX('Profit &amp; Loss'!$1:$996, MATCH("Gastos Operativos*", 'Profit &amp; Loss'!$A:$A, 0), COLUMN()-1), 0)</f>
        <v>117821.951</v>
      </c>
      <c r="AE40" s="63">
        <f t="array" ref="AE40">IFERROR(1*INDEX('Profit &amp; Loss'!$1:$996, MATCH("Gastos Operativos*", 'Profit &amp; Loss'!$A:$A, 0), COLUMN()-1), 0)</f>
        <v>117821.951</v>
      </c>
      <c r="AF40" s="63">
        <f t="array" ref="AF40">IFERROR(1*INDEX('Profit &amp; Loss'!$1:$996, MATCH("Gastos Operativos*", 'Profit &amp; Loss'!$A:$A, 0), COLUMN()-1), 0)</f>
        <v>117821.951</v>
      </c>
      <c r="AG40" s="63">
        <f t="array" ref="AG40">IFERROR(1*INDEX('Profit &amp; Loss'!$1:$996, MATCH("Gastos Operativos*", 'Profit &amp; Loss'!$A:$A, 0), COLUMN()-1), 0)</f>
        <v>117821.951</v>
      </c>
      <c r="AH40" s="63">
        <f t="array" ref="AH40">IFERROR(1*INDEX('Profit &amp; Loss'!$1:$996, MATCH("Gastos Operativos*", 'Profit &amp; Loss'!$A:$A, 0), COLUMN()-1), 0)</f>
        <v>117821.951</v>
      </c>
      <c r="AI40" s="63">
        <f t="array" ref="AI40">IFERROR(1*INDEX('Profit &amp; Loss'!$1:$996, MATCH("Gastos Operativos*", 'Profit &amp; Loss'!$A:$A, 0), COLUMN()-1), 0)</f>
        <v>117821.951</v>
      </c>
      <c r="AJ40" s="63">
        <f t="array" ref="AJ40">IFERROR(1*INDEX('Profit &amp; Loss'!$1:$996, MATCH("Gastos Operativos*", 'Profit &amp; Loss'!$A:$A, 0), COLUMN()-1), 0)</f>
        <v>117821.951</v>
      </c>
      <c r="AK40" s="63">
        <f t="array" ref="AK40">IFERROR(1*INDEX('Profit &amp; Loss'!$1:$996, MATCH("Gastos Operativos*", 'Profit &amp; Loss'!$A:$A, 0), COLUMN()-1), 0)</f>
        <v>117821.951</v>
      </c>
      <c r="AL40" s="63">
        <f t="array" ref="AL40">IFERROR(1*INDEX('Profit &amp; Loss'!$1:$996, MATCH("Gastos Operativos*", 'Profit &amp; Loss'!$A:$A, 0), COLUMN()-1), 0)</f>
        <v>117821.951</v>
      </c>
      <c r="AM40" s="63">
        <f t="array" ref="AM40">IFERROR(1*INDEX('Profit &amp; Loss'!$1:$996, MATCH("Gastos Operativos*", 'Profit &amp; Loss'!$A:$A, 0), COLUMN()-1), 0)</f>
        <v>117821.951</v>
      </c>
      <c r="AN40" s="63">
        <f t="array" ref="AN40">IFERROR(1*INDEX('Profit &amp; Loss'!$1:$996, MATCH("Gastos Operativos*", 'Profit &amp; Loss'!$A:$A, 0), COLUMN()-1), 0)</f>
        <v>117821.951</v>
      </c>
      <c r="AO40" s="63">
        <f t="array" ref="AO40">IFERROR(1*INDEX('Profit &amp; Loss'!$1:$996, MATCH("Gastos Operativos*", 'Profit &amp; Loss'!$A:$A, 0), COLUMN()-1), 0)</f>
        <v>123072.1888</v>
      </c>
      <c r="AP40" s="63">
        <f t="array" ref="AP40">IFERROR(1*INDEX('Profit &amp; Loss'!$1:$996, MATCH("Gastos Operativos*", 'Profit &amp; Loss'!$A:$A, 0), COLUMN()-1), 0)</f>
        <v>123072.1888</v>
      </c>
      <c r="AQ40" s="63">
        <f t="array" ref="AQ40">IFERROR(1*INDEX('Profit &amp; Loss'!$1:$996, MATCH("Gastos Operativos*", 'Profit &amp; Loss'!$A:$A, 0), COLUMN()-1), 0)</f>
        <v>123072.1888</v>
      </c>
      <c r="AR40" s="63">
        <f t="array" ref="AR40">IFERROR(1*INDEX('Profit &amp; Loss'!$1:$996, MATCH("Gastos Operativos*", 'Profit &amp; Loss'!$A:$A, 0), COLUMN()-1), 0)</f>
        <v>123072.1888</v>
      </c>
      <c r="AS40" s="63">
        <f t="array" ref="AS40">IFERROR(1*INDEX('Profit &amp; Loss'!$1:$996, MATCH("Gastos Operativos*", 'Profit &amp; Loss'!$A:$A, 0), COLUMN()-1), 0)</f>
        <v>123072.1888</v>
      </c>
      <c r="AT40" s="63">
        <f t="array" ref="AT40">IFERROR(1*INDEX('Profit &amp; Loss'!$1:$996, MATCH("Gastos Operativos*", 'Profit &amp; Loss'!$A:$A, 0), COLUMN()-1), 0)</f>
        <v>123072.1888</v>
      </c>
      <c r="AU40" s="63">
        <f t="array" ref="AU40">IFERROR(1*INDEX('Profit &amp; Loss'!$1:$996, MATCH("Gastos Operativos*", 'Profit &amp; Loss'!$A:$A, 0), COLUMN()-1), 0)</f>
        <v>123072.1888</v>
      </c>
      <c r="AV40" s="63">
        <f t="array" ref="AV40">IFERROR(1*INDEX('Profit &amp; Loss'!$1:$996, MATCH("Gastos Operativos*", 'Profit &amp; Loss'!$A:$A, 0), COLUMN()-1), 0)</f>
        <v>123072.1888</v>
      </c>
      <c r="AW40" s="63">
        <f t="array" ref="AW40">IFERROR(1*INDEX('Profit &amp; Loss'!$1:$996, MATCH("Gastos Operativos*", 'Profit &amp; Loss'!$A:$A, 0), COLUMN()-1), 0)</f>
        <v>123072.1888</v>
      </c>
      <c r="AX40" s="63">
        <f t="array" ref="AX40">IFERROR(1*INDEX('Profit &amp; Loss'!$1:$996, MATCH("Gastos Operativos*", 'Profit &amp; Loss'!$A:$A, 0), COLUMN()-1), 0)</f>
        <v>123072.1888</v>
      </c>
      <c r="AY40" s="63">
        <f t="array" ref="AY40">IFERROR(1*INDEX('Profit &amp; Loss'!$1:$996, MATCH("Gastos Operativos*", 'Profit &amp; Loss'!$A:$A, 0), COLUMN()-1), 0)</f>
        <v>123072.1888</v>
      </c>
      <c r="AZ40" s="63">
        <f t="array" ref="AZ40">IFERROR(1*INDEX('Profit &amp; Loss'!$1:$996, MATCH("Gastos Operativos*", 'Profit &amp; Loss'!$A:$A, 0), COLUMN()-1), 0)</f>
        <v>123072.1888</v>
      </c>
      <c r="BA40" s="63">
        <f t="array" ref="BA40">IFERROR(1*INDEX('Profit &amp; Loss'!$1:$996, MATCH("Gastos Operativos*", 'Profit &amp; Loss'!$A:$A, 0), COLUMN()-1), 0)</f>
        <v>128558.6873</v>
      </c>
      <c r="BB40" s="63">
        <f t="array" ref="BB40">IFERROR(1*INDEX('Profit &amp; Loss'!$1:$996, MATCH("Gastos Operativos*", 'Profit &amp; Loss'!$A:$A, 0), COLUMN()-1), 0)</f>
        <v>128558.6873</v>
      </c>
      <c r="BC40" s="63">
        <f t="array" ref="BC40">IFERROR(1*INDEX('Profit &amp; Loss'!$1:$996, MATCH("Gastos Operativos*", 'Profit &amp; Loss'!$A:$A, 0), COLUMN()-1), 0)</f>
        <v>128558.6873</v>
      </c>
      <c r="BD40" s="63">
        <f t="array" ref="BD40">IFERROR(1*INDEX('Profit &amp; Loss'!$1:$996, MATCH("Gastos Operativos*", 'Profit &amp; Loss'!$A:$A, 0), COLUMN()-1), 0)</f>
        <v>128558.6873</v>
      </c>
      <c r="BE40" s="63">
        <f t="array" ref="BE40">IFERROR(1*INDEX('Profit &amp; Loss'!$1:$996, MATCH("Gastos Operativos*", 'Profit &amp; Loss'!$A:$A, 0), COLUMN()-1), 0)</f>
        <v>128558.6873</v>
      </c>
      <c r="BF40" s="63">
        <f t="array" ref="BF40">IFERROR(1*INDEX('Profit &amp; Loss'!$1:$996, MATCH("Gastos Operativos*", 'Profit &amp; Loss'!$A:$A, 0), COLUMN()-1), 0)</f>
        <v>128558.6873</v>
      </c>
      <c r="BG40" s="63">
        <f t="array" ref="BG40">IFERROR(1*INDEX('Profit &amp; Loss'!$1:$996, MATCH("Gastos Operativos*", 'Profit &amp; Loss'!$A:$A, 0), COLUMN()-1), 0)</f>
        <v>128558.6873</v>
      </c>
      <c r="BH40" s="63">
        <f t="array" ref="BH40">IFERROR(1*INDEX('Profit &amp; Loss'!$1:$996, MATCH("Gastos Operativos*", 'Profit &amp; Loss'!$A:$A, 0), COLUMN()-1), 0)</f>
        <v>128558.6873</v>
      </c>
      <c r="BI40" s="63">
        <f t="array" ref="BI40">IFERROR(1*INDEX('Profit &amp; Loss'!$1:$996, MATCH("Gastos Operativos*", 'Profit &amp; Loss'!$A:$A, 0), COLUMN()-1), 0)</f>
        <v>128558.6873</v>
      </c>
      <c r="BJ40" s="63">
        <f t="array" ref="BJ40">IFERROR(1*INDEX('Profit &amp; Loss'!$1:$996, MATCH("Gastos Operativos*", 'Profit &amp; Loss'!$A:$A, 0), COLUMN()-1), 0)</f>
        <v>128558.6873</v>
      </c>
      <c r="BK40" s="63">
        <f t="array" ref="BK40">IFERROR(1*INDEX('Profit &amp; Loss'!$1:$996, MATCH("Gastos Operativos*", 'Profit &amp; Loss'!$A:$A, 0), COLUMN()-1), 0)</f>
        <v>128558.6873</v>
      </c>
      <c r="BL40" s="25"/>
      <c r="BM40" s="25"/>
    </row>
    <row r="41">
      <c r="A41" s="36" t="s">
        <v>128</v>
      </c>
      <c r="B41" s="25"/>
      <c r="C41" s="25"/>
      <c r="D41" s="63">
        <f t="shared" ref="D41:BK41" si="7">(N(C30) * 0.5 + N(B30) * 0.5) * $B$25 / (1 - $B$9) * $B$9</f>
        <v>0</v>
      </c>
      <c r="E41" s="63">
        <f t="shared" si="7"/>
        <v>20490.36055</v>
      </c>
      <c r="F41" s="63">
        <f t="shared" si="7"/>
        <v>41935.83599</v>
      </c>
      <c r="G41" s="63">
        <f t="shared" si="7"/>
        <v>43282.86623</v>
      </c>
      <c r="H41" s="63">
        <f t="shared" si="7"/>
        <v>42586.47506</v>
      </c>
      <c r="I41" s="63">
        <f t="shared" si="7"/>
        <v>41990.39893</v>
      </c>
      <c r="J41" s="63">
        <f t="shared" si="7"/>
        <v>42445.51547</v>
      </c>
      <c r="K41" s="63">
        <f t="shared" si="7"/>
        <v>43536.30237</v>
      </c>
      <c r="L41" s="63">
        <f t="shared" si="7"/>
        <v>44536.36565</v>
      </c>
      <c r="M41" s="63">
        <f t="shared" si="7"/>
        <v>41296.69663</v>
      </c>
      <c r="N41" s="63">
        <f t="shared" si="7"/>
        <v>37453.56392</v>
      </c>
      <c r="O41" s="63">
        <f t="shared" si="7"/>
        <v>40615.07397</v>
      </c>
      <c r="P41" s="63">
        <f t="shared" si="7"/>
        <v>42616.43266</v>
      </c>
      <c r="Q41" s="63">
        <f t="shared" si="7"/>
        <v>40393.86655</v>
      </c>
      <c r="R41" s="63">
        <f t="shared" si="7"/>
        <v>40996.47326</v>
      </c>
      <c r="S41" s="63">
        <f t="shared" si="7"/>
        <v>42313.33003</v>
      </c>
      <c r="T41" s="63">
        <f t="shared" si="7"/>
        <v>41632.53802</v>
      </c>
      <c r="U41" s="63">
        <f t="shared" si="7"/>
        <v>41049.81399</v>
      </c>
      <c r="V41" s="63">
        <f t="shared" si="7"/>
        <v>41494.73592</v>
      </c>
      <c r="W41" s="63">
        <f t="shared" si="7"/>
        <v>42561.0892</v>
      </c>
      <c r="X41" s="63">
        <f t="shared" si="7"/>
        <v>43538.75106</v>
      </c>
      <c r="Y41" s="63">
        <f t="shared" si="7"/>
        <v>40371.65063</v>
      </c>
      <c r="Z41" s="63">
        <f t="shared" si="7"/>
        <v>36614.60409</v>
      </c>
      <c r="AA41" s="63">
        <f t="shared" si="7"/>
        <v>39705.29631</v>
      </c>
      <c r="AB41" s="63">
        <f t="shared" si="7"/>
        <v>41661.82457</v>
      </c>
      <c r="AC41" s="63">
        <f t="shared" si="7"/>
        <v>39489.04394</v>
      </c>
      <c r="AD41" s="63">
        <f t="shared" si="7"/>
        <v>40078.15226</v>
      </c>
      <c r="AE41" s="63">
        <f t="shared" si="7"/>
        <v>41365.51144</v>
      </c>
      <c r="AF41" s="63">
        <f t="shared" si="7"/>
        <v>40699.96917</v>
      </c>
      <c r="AG41" s="63">
        <f t="shared" si="7"/>
        <v>40130.29816</v>
      </c>
      <c r="AH41" s="63">
        <f t="shared" si="7"/>
        <v>40565.25384</v>
      </c>
      <c r="AI41" s="63">
        <f t="shared" si="7"/>
        <v>41607.7208</v>
      </c>
      <c r="AJ41" s="63">
        <f t="shared" si="7"/>
        <v>42563.48304</v>
      </c>
      <c r="AK41" s="63">
        <f t="shared" si="7"/>
        <v>39467.32565</v>
      </c>
      <c r="AL41" s="63">
        <f t="shared" si="7"/>
        <v>35794.43696</v>
      </c>
      <c r="AM41" s="63">
        <f t="shared" si="7"/>
        <v>38815.89767</v>
      </c>
      <c r="AN41" s="63">
        <f t="shared" si="7"/>
        <v>40728.5997</v>
      </c>
      <c r="AO41" s="63">
        <f t="shared" si="7"/>
        <v>38604.48936</v>
      </c>
      <c r="AP41" s="63">
        <f t="shared" si="7"/>
        <v>39895.98664</v>
      </c>
      <c r="AQ41" s="63">
        <f t="shared" si="7"/>
        <v>41151.0506</v>
      </c>
      <c r="AR41" s="63">
        <f t="shared" si="7"/>
        <v>39781.54545</v>
      </c>
      <c r="AS41" s="63">
        <f t="shared" si="7"/>
        <v>39224.72947</v>
      </c>
      <c r="AT41" s="63">
        <f t="shared" si="7"/>
        <v>39649.87007</v>
      </c>
      <c r="AU41" s="63">
        <f t="shared" si="7"/>
        <v>40668.81302</v>
      </c>
      <c r="AV41" s="63">
        <f t="shared" si="7"/>
        <v>41603.00781</v>
      </c>
      <c r="AW41" s="63">
        <f t="shared" si="7"/>
        <v>38576.71742</v>
      </c>
      <c r="AX41" s="63">
        <f t="shared" si="7"/>
        <v>34986.71007</v>
      </c>
      <c r="AY41" s="63">
        <f t="shared" si="7"/>
        <v>37939.98937</v>
      </c>
      <c r="AZ41" s="63">
        <f t="shared" si="7"/>
        <v>39809.52992</v>
      </c>
      <c r="BA41" s="63">
        <f t="shared" si="7"/>
        <v>37733.35163</v>
      </c>
      <c r="BB41" s="63">
        <f t="shared" si="7"/>
        <v>38296.26805</v>
      </c>
      <c r="BC41" s="63">
        <f t="shared" si="7"/>
        <v>39526.39094</v>
      </c>
      <c r="BD41" s="63">
        <f t="shared" si="7"/>
        <v>38890.43883</v>
      </c>
      <c r="BE41" s="63">
        <f t="shared" si="7"/>
        <v>38346.09553</v>
      </c>
      <c r="BF41" s="63">
        <f t="shared" si="7"/>
        <v>38761.71298</v>
      </c>
      <c r="BG41" s="63">
        <f t="shared" si="7"/>
        <v>39757.83161</v>
      </c>
      <c r="BH41" s="63">
        <f t="shared" si="7"/>
        <v>40671.10043</v>
      </c>
      <c r="BI41" s="63">
        <f t="shared" si="7"/>
        <v>37712.59895</v>
      </c>
      <c r="BJ41" s="63">
        <f t="shared" si="7"/>
        <v>34203.00776</v>
      </c>
      <c r="BK41" s="63">
        <f t="shared" si="7"/>
        <v>37090.13361</v>
      </c>
      <c r="BL41" s="25"/>
      <c r="BM41" s="25"/>
    </row>
    <row r="42">
      <c r="A42" s="36" t="s">
        <v>412</v>
      </c>
      <c r="B42" s="25"/>
      <c r="C42" s="25"/>
      <c r="D42" s="63">
        <f t="array" ref="D42">MAX(0, IFERROR(1*INDEX('Profit &amp; Loss'!$1:$996, MATCH("UT. Operativa*", 'Profit &amp; Loss'!$A:$A, 0), COLUMN()-1), 0)) * $B$11</f>
        <v>0</v>
      </c>
      <c r="E42" s="63">
        <f t="array" ref="E42">MAX(0, IFERROR(1*INDEX('Profit &amp; Loss'!$1:$996, MATCH("UT. Operativa*", 'Profit &amp; Loss'!$A:$A, 0), COLUMN()-1), 0)) * $B$11</f>
        <v>43949.69217</v>
      </c>
      <c r="F42" s="63">
        <f t="array" ref="F42">MAX(0, IFERROR(1*INDEX('Profit &amp; Loss'!$1:$996, MATCH("UT. Operativa*", 'Profit &amp; Loss'!$A:$A, 0), COLUMN()-1), 0)) * $B$11</f>
        <v>46143.82959</v>
      </c>
      <c r="G42" s="63">
        <f t="array" ref="G42">MAX(0, IFERROR(1*INDEX('Profit &amp; Loss'!$1:$996, MATCH("UT. Operativa*", 'Profit &amp; Loss'!$A:$A, 0), COLUMN()-1), 0)) * $B$11</f>
        <v>46976.79248</v>
      </c>
      <c r="H42" s="63">
        <f t="array" ref="H42">MAX(0, IFERROR(1*INDEX('Profit &amp; Loss'!$1:$996, MATCH("UT. Operativa*", 'Profit &amp; Loss'!$A:$A, 0), COLUMN()-1), 0)) * $B$11</f>
        <v>44182.95263</v>
      </c>
      <c r="I42" s="63">
        <f t="array" ref="I42">MAX(0, IFERROR(1*INDEX('Profit &amp; Loss'!$1:$996, MATCH("UT. Operativa*", 'Profit &amp; Loss'!$A:$A, 0), COLUMN()-1), 0)) * $B$11</f>
        <v>45253.34078</v>
      </c>
      <c r="J42" s="63">
        <f t="array" ref="J42">MAX(0, IFERROR(1*INDEX('Profit &amp; Loss'!$1:$996, MATCH("UT. Operativa*", 'Profit &amp; Loss'!$A:$A, 0), COLUMN()-1), 0)) * $B$11</f>
        <v>45027.56586</v>
      </c>
      <c r="K42" s="63">
        <f t="array" ref="K42">MAX(0, IFERROR(1*INDEX('Profit &amp; Loss'!$1:$996, MATCH("UT. Operativa*", 'Profit &amp; Loss'!$A:$A, 0), COLUMN()-1), 0)) * $B$11</f>
        <v>47651.40041</v>
      </c>
      <c r="L42" s="63">
        <f t="array" ref="L42">MAX(0, IFERROR(1*INDEX('Profit &amp; Loss'!$1:$996, MATCH("UT. Operativa*", 'Profit &amp; Loss'!$A:$A, 0), COLUMN()-1), 0)) * $B$11</f>
        <v>47205.49925</v>
      </c>
      <c r="M42" s="63">
        <f t="array" ref="M42">MAX(0, IFERROR(1*INDEX('Profit &amp; Loss'!$1:$996, MATCH("UT. Operativa*", 'Profit &amp; Loss'!$A:$A, 0), COLUMN()-1), 0)) * $B$11</f>
        <v>39474.38624</v>
      </c>
      <c r="N42" s="63">
        <f t="array" ref="N42">MAX(0, IFERROR(1*INDEX('Profit &amp; Loss'!$1:$996, MATCH("UT. Operativa*", 'Profit &amp; Loss'!$A:$A, 0), COLUMN()-1), 0)) * $B$11</f>
        <v>37560.68667</v>
      </c>
      <c r="O42" s="63">
        <f t="array" ref="O42">MAX(0, IFERROR(1*INDEX('Profit &amp; Loss'!$1:$996, MATCH("UT. Operativa*", 'Profit &amp; Loss'!$A:$A, 0), COLUMN()-1), 0)) * $B$11</f>
        <v>46933.93153</v>
      </c>
      <c r="P42" s="63">
        <f t="array" ref="P42">MAX(0, IFERROR(1*INDEX('Profit &amp; Loss'!$1:$996, MATCH("UT. Operativa*", 'Profit &amp; Loss'!$A:$A, 0), COLUMN()-1), 0)) * $B$11</f>
        <v>42188.84928</v>
      </c>
      <c r="Q42" s="63">
        <f t="array" ref="Q42">MAX(0, IFERROR(1*INDEX('Profit &amp; Loss'!$1:$996, MATCH("UT. Operativa*", 'Profit &amp; Loss'!$A:$A, 0), COLUMN()-1), 0)) * $B$11</f>
        <v>39807.70083</v>
      </c>
      <c r="R42" s="63">
        <f t="array" ref="R42">MAX(0, IFERROR(1*INDEX('Profit &amp; Loss'!$1:$996, MATCH("UT. Operativa*", 'Profit &amp; Loss'!$A:$A, 0), COLUMN()-1), 0)) * $B$11</f>
        <v>41957.87585</v>
      </c>
      <c r="S42" s="63">
        <f t="array" ref="S42">MAX(0, IFERROR(1*INDEX('Profit &amp; Loss'!$1:$996, MATCH("UT. Operativa*", 'Profit &amp; Loss'!$A:$A, 0), COLUMN()-1), 0)) * $B$11</f>
        <v>42776.84138</v>
      </c>
      <c r="T42" s="63">
        <f t="array" ref="T42">MAX(0, IFERROR(1*INDEX('Profit &amp; Loss'!$1:$996, MATCH("UT. Operativa*", 'Profit &amp; Loss'!$A:$A, 0), COLUMN()-1), 0)) * $B$11</f>
        <v>40050.71821</v>
      </c>
      <c r="U42" s="63">
        <f t="array" ref="U42">MAX(0, IFERROR(1*INDEX('Profit &amp; Loss'!$1:$996, MATCH("UT. Operativa*", 'Profit &amp; Loss'!$A:$A, 0), COLUMN()-1), 0)) * $B$11</f>
        <v>41102.07306</v>
      </c>
      <c r="V42" s="63">
        <f t="array" ref="V42">MAX(0, IFERROR(1*INDEX('Profit &amp; Loss'!$1:$996, MATCH("UT. Operativa*", 'Profit &amp; Loss'!$A:$A, 0), COLUMN()-1), 0)) * $B$11</f>
        <v>40886.43734</v>
      </c>
      <c r="W42" s="63">
        <f t="array" ref="W42">MAX(0, IFERROR(1*INDEX('Profit &amp; Loss'!$1:$996, MATCH("UT. Operativa*", 'Profit &amp; Loss'!$A:$A, 0), COLUMN()-1), 0)) * $B$11</f>
        <v>43456.39054</v>
      </c>
      <c r="X42" s="63">
        <f t="array" ref="X42">MAX(0, IFERROR(1*INDEX('Profit &amp; Loss'!$1:$996, MATCH("UT. Operativa*", 'Profit &amp; Loss'!$A:$A, 0), COLUMN()-1), 0)) * $B$11</f>
        <v>43025.50713</v>
      </c>
      <c r="Y42" s="63">
        <f t="array" ref="Y42">MAX(0, IFERROR(1*INDEX('Profit &amp; Loss'!$1:$996, MATCH("UT. Operativa*", 'Profit &amp; Loss'!$A:$A, 0), COLUMN()-1), 0)) * $B$11</f>
        <v>35472.57425</v>
      </c>
      <c r="Z42" s="63">
        <f t="array" ref="Z42">MAX(0, IFERROR(1*INDEX('Profit &amp; Loss'!$1:$996, MATCH("UT. Operativa*", 'Profit &amp; Loss'!$A:$A, 0), COLUMN()-1), 0)) * $B$11</f>
        <v>33606.55838</v>
      </c>
      <c r="AA42" s="63">
        <f t="array" ref="AA42">MAX(0, IFERROR(1*INDEX('Profit &amp; Loss'!$1:$996, MATCH("UT. Operativa*", 'Profit &amp; Loss'!$A:$A, 0), COLUMN()-1), 0)) * $B$11</f>
        <v>42774.79429</v>
      </c>
      <c r="AB42" s="63">
        <f t="array" ref="AB42">MAX(0, IFERROR(1*INDEX('Profit &amp; Loss'!$1:$996, MATCH("UT. Operativa*", 'Profit &amp; Loss'!$A:$A, 0), COLUMN()-1), 0)) * $B$11</f>
        <v>38140.76917</v>
      </c>
      <c r="AC42" s="63">
        <f t="array" ref="AC42">MAX(0, IFERROR(1*INDEX('Profit &amp; Loss'!$1:$996, MATCH("UT. Operativa*", 'Profit &amp; Loss'!$A:$A, 0), COLUMN()-1), 0)) * $B$11</f>
        <v>35720.64551</v>
      </c>
      <c r="AD42" s="63">
        <f t="array" ref="AD42">MAX(0, IFERROR(1*INDEX('Profit &amp; Loss'!$1:$996, MATCH("UT. Operativa*", 'Profit &amp; Loss'!$A:$A, 0), COLUMN()-1), 0)) * $B$11</f>
        <v>37827.5317</v>
      </c>
      <c r="AE42" s="63">
        <f t="array" ref="AE42">MAX(0, IFERROR(1*INDEX('Profit &amp; Loss'!$1:$996, MATCH("UT. Operativa*", 'Profit &amp; Loss'!$A:$A, 0), COLUMN()-1), 0)) * $B$11</f>
        <v>38632.53376</v>
      </c>
      <c r="AF42" s="63">
        <f t="array" ref="AF42">MAX(0, IFERROR(1*INDEX('Profit &amp; Loss'!$1:$996, MATCH("UT. Operativa*", 'Profit &amp; Loss'!$A:$A, 0), COLUMN()-1), 0)) * $B$11</f>
        <v>35972.30233</v>
      </c>
      <c r="AG42" s="63">
        <f t="array" ref="AG42">MAX(0, IFERROR(1*INDEX('Profit &amp; Loss'!$1:$996, MATCH("UT. Operativa*", 'Profit &amp; Loss'!$A:$A, 0), COLUMN()-1), 0)) * $B$11</f>
        <v>37004.75363</v>
      </c>
      <c r="AH42" s="63">
        <f t="array" ref="AH42">MAX(0, IFERROR(1*INDEX('Profit &amp; Loss'!$1:$996, MATCH("UT. Operativa*", 'Profit &amp; Loss'!$A:$A, 0), COLUMN()-1), 0)) * $B$11</f>
        <v>36798.72508</v>
      </c>
      <c r="AI42" s="63">
        <f t="array" ref="AI42">MAX(0, IFERROR(1*INDEX('Profit &amp; Loss'!$1:$996, MATCH("UT. Operativa*", 'Profit &amp; Loss'!$A:$A, 0), COLUMN()-1), 0)) * $B$11</f>
        <v>39315.71032</v>
      </c>
      <c r="AJ42" s="63">
        <f t="array" ref="AJ42">MAX(0, IFERROR(1*INDEX('Profit &amp; Loss'!$1:$996, MATCH("UT. Operativa*", 'Profit &amp; Loss'!$A:$A, 0), COLUMN()-1), 0)) * $B$11</f>
        <v>38899.20649</v>
      </c>
      <c r="AK42" s="63">
        <f t="array" ref="AK42">MAX(0, IFERROR(1*INDEX('Profit &amp; Loss'!$1:$996, MATCH("UT. Operativa*", 'Profit &amp; Loss'!$A:$A, 0), COLUMN()-1), 0)) * $B$11</f>
        <v>31520.1623</v>
      </c>
      <c r="AL42" s="63">
        <f t="array" ref="AL42">MAX(0, IFERROR(1*INDEX('Profit &amp; Loss'!$1:$996, MATCH("UT. Operativa*", 'Profit &amp; Loss'!$A:$A, 0), COLUMN()-1), 0)) * $B$11</f>
        <v>29700.47302</v>
      </c>
      <c r="AM42" s="63">
        <f t="array" ref="AM42">MAX(0, IFERROR(1*INDEX('Profit &amp; Loss'!$1:$996, MATCH("UT. Operativa*", 'Profit &amp; Loss'!$A:$A, 0), COLUMN()-1), 0)) * $B$11</f>
        <v>38667.99507</v>
      </c>
      <c r="AN42" s="63">
        <f t="array" ref="AN42">MAX(0, IFERROR(1*INDEX('Profit &amp; Loss'!$1:$996, MATCH("UT. Operativa*", 'Profit &amp; Loss'!$A:$A, 0), COLUMN()-1), 0)) * $B$11</f>
        <v>34142.25335</v>
      </c>
      <c r="AO42" s="63">
        <f t="array" ref="AO42">MAX(0, IFERROR(1*INDEX('Profit &amp; Loss'!$1:$996, MATCH("UT. Operativa*", 'Profit &amp; Loss'!$A:$A, 0), COLUMN()-1), 0)) * $B$11</f>
        <v>31679.35887</v>
      </c>
      <c r="AP42" s="63">
        <f t="array" ref="AP42">MAX(0, IFERROR(1*INDEX('Profit &amp; Loss'!$1:$996, MATCH("UT. Operativa*", 'Profit &amp; Loss'!$A:$A, 0), COLUMN()-1), 0)) * $B$11</f>
        <v>35490.85204</v>
      </c>
      <c r="AQ42" s="63">
        <f t="array" ref="AQ42">MAX(0, IFERROR(1*INDEX('Profit &amp; Loss'!$1:$996, MATCH("UT. Operativa*", 'Profit &amp; Loss'!$A:$A, 0), COLUMN()-1), 0)) * $B$11</f>
        <v>34522.60951</v>
      </c>
      <c r="AR42" s="63">
        <f t="array" ref="AR42">MAX(0, IFERROR(1*INDEX('Profit &amp; Loss'!$1:$996, MATCH("UT. Operativa*", 'Profit &amp; Loss'!$A:$A, 0), COLUMN()-1), 0)) * $B$11</f>
        <v>31926.94431</v>
      </c>
      <c r="AS42" s="63">
        <f t="array" ref="AS42">MAX(0, IFERROR(1*INDEX('Profit &amp; Loss'!$1:$996, MATCH("UT. Operativa*", 'Profit &amp; Loss'!$A:$A, 0), COLUMN()-1), 0)) * $B$11</f>
        <v>32940.46486</v>
      </c>
      <c r="AT42" s="63">
        <f t="array" ref="AT42">MAX(0, IFERROR(1*INDEX('Profit &amp; Loss'!$1:$996, MATCH("UT. Operativa*", 'Profit &amp; Loss'!$A:$A, 0), COLUMN()-1), 0)) * $B$11</f>
        <v>32743.57504</v>
      </c>
      <c r="AU42" s="63">
        <f t="array" ref="AU42">MAX(0, IFERROR(1*INDEX('Profit &amp; Loss'!$1:$996, MATCH("UT. Operativa*", 'Profit &amp; Loss'!$A:$A, 0), COLUMN()-1), 0)) * $B$11</f>
        <v>35208.08505</v>
      </c>
      <c r="AV42" s="63">
        <f t="array" ref="AV42">MAX(0, IFERROR(1*INDEX('Profit &amp; Loss'!$1:$996, MATCH("UT. Operativa*", 'Profit &amp; Loss'!$A:$A, 0), COLUMN()-1), 0)) * $B$11</f>
        <v>34805.42328</v>
      </c>
      <c r="AW42" s="63">
        <f t="array" ref="AW42">MAX(0, IFERROR(1*INDEX('Profit &amp; Loss'!$1:$996, MATCH("UT. Operativa*", 'Profit &amp; Loss'!$A:$A, 0), COLUMN()-1), 0)) * $B$11</f>
        <v>27597.31255</v>
      </c>
      <c r="AX42" s="63">
        <f t="array" ref="AX42">MAX(0, IFERROR(1*INDEX('Profit &amp; Loss'!$1:$996, MATCH("UT. Operativa*", 'Profit &amp; Loss'!$A:$A, 0), COLUMN()-1), 0)) * $B$11</f>
        <v>25822.94128</v>
      </c>
      <c r="AY42" s="63">
        <f t="array" ref="AY42">MAX(0, IFERROR(1*INDEX('Profit &amp; Loss'!$1:$996, MATCH("UT. Operativa*", 'Profit &amp; Loss'!$A:$A, 0), COLUMN()-1), 0)) * $B$11</f>
        <v>34592.47943</v>
      </c>
      <c r="AZ42" s="63">
        <f t="array" ref="AZ42">MAX(0, IFERROR(1*INDEX('Profit &amp; Loss'!$1:$996, MATCH("UT. Operativa*", 'Profit &amp; Loss'!$A:$A, 0), COLUMN()-1), 0)) * $B$11</f>
        <v>30173.07595</v>
      </c>
      <c r="BA42" s="63">
        <f t="array" ref="BA42">MAX(0, IFERROR(1*INDEX('Profit &amp; Loss'!$1:$996, MATCH("UT. Operativa*", 'Profit &amp; Loss'!$A:$A, 0), COLUMN()-1), 0)) * $B$11</f>
        <v>27663.66722</v>
      </c>
      <c r="BB42" s="63">
        <f t="array" ref="BB42">MAX(0, IFERROR(1*INDEX('Profit &amp; Loss'!$1:$996, MATCH("UT. Operativa*", 'Profit &amp; Loss'!$A:$A, 0), COLUMN()-1), 0)) * $B$11</f>
        <v>29685.66684</v>
      </c>
      <c r="BC42" s="63">
        <f t="array" ref="BC42">MAX(0, IFERROR(1*INDEX('Profit &amp; Loss'!$1:$996, MATCH("UT. Operativa*", 'Profit &amp; Loss'!$A:$A, 0), COLUMN()-1), 0)) * $B$11</f>
        <v>30462.77455</v>
      </c>
      <c r="BD42" s="63">
        <f t="array" ref="BD42">MAX(0, IFERROR(1*INDEX('Profit &amp; Loss'!$1:$996, MATCH("UT. Operativa*", 'Profit &amp; Loss'!$A:$A, 0), COLUMN()-1), 0)) * $B$11</f>
        <v>27929.51629</v>
      </c>
      <c r="BE42" s="63">
        <f t="array" ref="BE42">MAX(0, IFERROR(1*INDEX('Profit &amp; Loss'!$1:$996, MATCH("UT. Operativa*", 'Profit &amp; Loss'!$A:$A, 0), COLUMN()-1), 0)) * $B$11</f>
        <v>28924.43921</v>
      </c>
      <c r="BF42" s="63">
        <f t="array" ref="BF42">MAX(0, IFERROR(1*INDEX('Profit &amp; Loss'!$1:$996, MATCH("UT. Operativa*", 'Profit &amp; Loss'!$A:$A, 0), COLUMN()-1), 0)) * $B$11</f>
        <v>28736.17989</v>
      </c>
      <c r="BG42" s="63">
        <f t="array" ref="BG42">MAX(0, IFERROR(1*INDEX('Profit &amp; Loss'!$1:$996, MATCH("UT. Operativa*", 'Profit &amp; Loss'!$A:$A, 0), COLUMN()-1), 0)) * $B$11</f>
        <v>31149.54786</v>
      </c>
      <c r="BH42" s="63">
        <f t="array" ref="BH42">MAX(0, IFERROR(1*INDEX('Profit &amp; Loss'!$1:$996, MATCH("UT. Operativa*", 'Profit &amp; Loss'!$A:$A, 0), COLUMN()-1), 0)) * $B$11</f>
        <v>30760.08248</v>
      </c>
      <c r="BI42" s="63">
        <f t="array" ref="BI42">MAX(0, IFERROR(1*INDEX('Profit &amp; Loss'!$1:$996, MATCH("UT. Operativa*", 'Profit &amp; Loss'!$A:$A, 0), COLUMN()-1), 0)) * $B$11</f>
        <v>23717.5883</v>
      </c>
      <c r="BJ42" s="63">
        <f t="array" ref="BJ42">MAX(0, IFERROR(1*INDEX('Profit &amp; Loss'!$1:$996, MATCH("UT. Operativa*", 'Profit &amp; Loss'!$A:$A, 0), COLUMN()-1), 0)) * $B$11</f>
        <v>21986.96306</v>
      </c>
      <c r="BK42" s="63">
        <f t="array" ref="BK42">MAX(0, IFERROR(1*INDEX('Profit &amp; Loss'!$1:$996, MATCH("UT. Operativa*", 'Profit &amp; Loss'!$A:$A, 0), COLUMN()-1), 0)) * $B$11</f>
        <v>30564.17568</v>
      </c>
      <c r="BL42" s="25"/>
      <c r="BM42" s="25"/>
    </row>
    <row r="43">
      <c r="A43" s="36" t="s">
        <v>492</v>
      </c>
      <c r="B43" s="25"/>
      <c r="C43" s="25"/>
      <c r="D43" s="63">
        <f t="shared" ref="D43:BK43" si="8">SUM(D38:D42)</f>
        <v>0</v>
      </c>
      <c r="E43" s="63">
        <f t="shared" si="8"/>
        <v>918352.8</v>
      </c>
      <c r="F43" s="63">
        <f t="shared" si="8"/>
        <v>981310.7008</v>
      </c>
      <c r="G43" s="63">
        <f t="shared" si="8"/>
        <v>999848.8424</v>
      </c>
      <c r="H43" s="63">
        <f t="shared" si="8"/>
        <v>952536.4445</v>
      </c>
      <c r="I43" s="63">
        <f t="shared" si="8"/>
        <v>973475.2219</v>
      </c>
      <c r="J43" s="63">
        <f t="shared" si="8"/>
        <v>972645.1167</v>
      </c>
      <c r="K43" s="63">
        <f t="shared" si="8"/>
        <v>1022681.719</v>
      </c>
      <c r="L43" s="63">
        <f t="shared" si="8"/>
        <v>1018480.741</v>
      </c>
      <c r="M43" s="63">
        <f t="shared" si="8"/>
        <v>881349.7375</v>
      </c>
      <c r="N43" s="63">
        <f t="shared" si="8"/>
        <v>846267.1995</v>
      </c>
      <c r="O43" s="63">
        <f t="shared" si="8"/>
        <v>1017618.588</v>
      </c>
      <c r="P43" s="63">
        <f t="shared" si="8"/>
        <v>938344.4174</v>
      </c>
      <c r="Q43" s="63">
        <f t="shared" si="8"/>
        <v>925511.7299</v>
      </c>
      <c r="R43" s="63">
        <f t="shared" si="8"/>
        <v>966684.7824</v>
      </c>
      <c r="S43" s="63">
        <f t="shared" si="8"/>
        <v>984796.7939</v>
      </c>
      <c r="T43" s="63">
        <f t="shared" si="8"/>
        <v>938532.2128</v>
      </c>
      <c r="U43" s="63">
        <f t="shared" si="8"/>
        <v>958990.427</v>
      </c>
      <c r="V43" s="63">
        <f t="shared" si="8"/>
        <v>958167.0585</v>
      </c>
      <c r="W43" s="63">
        <f t="shared" si="8"/>
        <v>1007071.425</v>
      </c>
      <c r="X43" s="63">
        <f t="shared" si="8"/>
        <v>1002952.814</v>
      </c>
      <c r="Y43" s="63">
        <f t="shared" si="8"/>
        <v>868881.8701</v>
      </c>
      <c r="Z43" s="63">
        <f t="shared" si="8"/>
        <v>834573.9417</v>
      </c>
      <c r="AA43" s="63">
        <f t="shared" si="8"/>
        <v>1002075.505</v>
      </c>
      <c r="AB43" s="63">
        <f t="shared" si="8"/>
        <v>924565.9522</v>
      </c>
      <c r="AC43" s="63">
        <f t="shared" si="8"/>
        <v>912236.1137</v>
      </c>
      <c r="AD43" s="63">
        <f t="shared" si="8"/>
        <v>952475.5146</v>
      </c>
      <c r="AE43" s="63">
        <f t="shared" si="8"/>
        <v>970171.5939</v>
      </c>
      <c r="AF43" s="63">
        <f t="shared" si="8"/>
        <v>924932.0774</v>
      </c>
      <c r="AG43" s="63">
        <f t="shared" si="8"/>
        <v>944921.1851</v>
      </c>
      <c r="AH43" s="63">
        <f t="shared" si="8"/>
        <v>944105.1139</v>
      </c>
      <c r="AI43" s="63">
        <f t="shared" si="8"/>
        <v>991903.2916</v>
      </c>
      <c r="AJ43" s="63">
        <f t="shared" si="8"/>
        <v>987865.9055</v>
      </c>
      <c r="AK43" s="63">
        <f t="shared" si="8"/>
        <v>856787.1775</v>
      </c>
      <c r="AL43" s="63">
        <f t="shared" si="8"/>
        <v>823237.1818</v>
      </c>
      <c r="AM43" s="63">
        <f t="shared" si="8"/>
        <v>986975.849</v>
      </c>
      <c r="AN43" s="63">
        <f t="shared" si="8"/>
        <v>911192.0542</v>
      </c>
      <c r="AO43" s="63">
        <f t="shared" si="8"/>
        <v>899364.6945</v>
      </c>
      <c r="AP43" s="63">
        <f t="shared" si="8"/>
        <v>970268.1667</v>
      </c>
      <c r="AQ43" s="63">
        <f t="shared" si="8"/>
        <v>956553.656</v>
      </c>
      <c r="AR43" s="63">
        <f t="shared" si="8"/>
        <v>911605.4355</v>
      </c>
      <c r="AS43" s="63">
        <f t="shared" si="8"/>
        <v>931133.2845</v>
      </c>
      <c r="AT43" s="63">
        <f t="shared" si="8"/>
        <v>930325.1529</v>
      </c>
      <c r="AU43" s="63">
        <f t="shared" si="8"/>
        <v>977034.6453</v>
      </c>
      <c r="AV43" s="63">
        <f t="shared" si="8"/>
        <v>973077.998</v>
      </c>
      <c r="AW43" s="63">
        <f t="shared" si="8"/>
        <v>844946.841</v>
      </c>
      <c r="AX43" s="63">
        <f t="shared" si="8"/>
        <v>812143.9954</v>
      </c>
      <c r="AY43" s="63">
        <f t="shared" si="8"/>
        <v>972177.5759</v>
      </c>
      <c r="AZ43" s="63">
        <f t="shared" si="8"/>
        <v>898094.0691</v>
      </c>
      <c r="BA43" s="63">
        <f t="shared" si="8"/>
        <v>886771.815</v>
      </c>
      <c r="BB43" s="63">
        <f t="shared" si="8"/>
        <v>925201.6616</v>
      </c>
      <c r="BC43" s="63">
        <f t="shared" si="8"/>
        <v>942092.5445</v>
      </c>
      <c r="BD43" s="63">
        <f t="shared" si="8"/>
        <v>898844.0908</v>
      </c>
      <c r="BE43" s="63">
        <f t="shared" si="8"/>
        <v>917924.9372</v>
      </c>
      <c r="BF43" s="63">
        <f t="shared" si="8"/>
        <v>917125.0607</v>
      </c>
      <c r="BG43" s="63">
        <f t="shared" si="8"/>
        <v>962778.7802</v>
      </c>
      <c r="BH43" s="63">
        <f t="shared" si="8"/>
        <v>958901.0159</v>
      </c>
      <c r="BI43" s="63">
        <f t="shared" si="8"/>
        <v>833630.3021</v>
      </c>
      <c r="BJ43" s="63">
        <f t="shared" si="8"/>
        <v>801552.9067</v>
      </c>
      <c r="BK43" s="63">
        <f t="shared" si="8"/>
        <v>957992.14</v>
      </c>
      <c r="BL43" s="25"/>
      <c r="BM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</row>
    <row r="45">
      <c r="A45" s="59" t="s">
        <v>510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25"/>
      <c r="BM45" s="25"/>
    </row>
    <row r="46">
      <c r="A46" s="36" t="s">
        <v>513</v>
      </c>
      <c r="B46" s="25"/>
      <c r="C46" s="25"/>
      <c r="D46" s="63">
        <f t="shared" ref="D46:BK46" si="9">D35 - D43</f>
        <v>974020.6262</v>
      </c>
      <c r="E46" s="63">
        <f t="shared" si="9"/>
        <v>171833.7636</v>
      </c>
      <c r="F46" s="63">
        <f t="shared" si="9"/>
        <v>116448.5865</v>
      </c>
      <c r="G46" s="63">
        <f t="shared" si="9"/>
        <v>63573.01758</v>
      </c>
      <c r="H46" s="63">
        <f t="shared" si="9"/>
        <v>124817.2443</v>
      </c>
      <c r="I46" s="63">
        <f t="shared" si="9"/>
        <v>115349.6428</v>
      </c>
      <c r="J46" s="63">
        <f t="shared" si="9"/>
        <v>156880.9212</v>
      </c>
      <c r="K46" s="63">
        <f t="shared" si="9"/>
        <v>75909.7433</v>
      </c>
      <c r="L46" s="63">
        <f t="shared" si="9"/>
        <v>-43628.86247</v>
      </c>
      <c r="M46" s="63">
        <f t="shared" si="9"/>
        <v>92577.28029</v>
      </c>
      <c r="N46" s="63">
        <f t="shared" si="9"/>
        <v>251715.9021</v>
      </c>
      <c r="O46" s="63">
        <f t="shared" si="9"/>
        <v>21121.76506</v>
      </c>
      <c r="P46" s="63">
        <f t="shared" si="9"/>
        <v>90077.74196</v>
      </c>
      <c r="Q46" s="63">
        <f t="shared" si="9"/>
        <v>140254.6547</v>
      </c>
      <c r="R46" s="63">
        <f t="shared" si="9"/>
        <v>106484.6969</v>
      </c>
      <c r="S46" s="63">
        <f t="shared" si="9"/>
        <v>54804.41644</v>
      </c>
      <c r="T46" s="63">
        <f t="shared" si="9"/>
        <v>114688.7534</v>
      </c>
      <c r="U46" s="63">
        <f t="shared" si="9"/>
        <v>105444.7607</v>
      </c>
      <c r="V46" s="63">
        <f t="shared" si="9"/>
        <v>146057.5962</v>
      </c>
      <c r="W46" s="63">
        <f t="shared" si="9"/>
        <v>66911.58855</v>
      </c>
      <c r="X46" s="63">
        <f t="shared" si="9"/>
        <v>-49937.61681</v>
      </c>
      <c r="Y46" s="63">
        <f t="shared" si="9"/>
        <v>83229.18249</v>
      </c>
      <c r="Z46" s="63">
        <f t="shared" si="9"/>
        <v>238814.3384</v>
      </c>
      <c r="AA46" s="63">
        <f t="shared" si="9"/>
        <v>13397.06411</v>
      </c>
      <c r="AB46" s="63">
        <f t="shared" si="9"/>
        <v>80819.55078</v>
      </c>
      <c r="AC46" s="63">
        <f t="shared" si="9"/>
        <v>129657.1039</v>
      </c>
      <c r="AD46" s="63">
        <f t="shared" si="9"/>
        <v>96654.96833</v>
      </c>
      <c r="AE46" s="63">
        <f t="shared" si="9"/>
        <v>46142.5493</v>
      </c>
      <c r="AF46" s="63">
        <f t="shared" si="9"/>
        <v>104696.7391</v>
      </c>
      <c r="AG46" s="63">
        <f t="shared" si="9"/>
        <v>95670.65444</v>
      </c>
      <c r="AH46" s="63">
        <f t="shared" si="9"/>
        <v>135384.9085</v>
      </c>
      <c r="AI46" s="63">
        <f t="shared" si="9"/>
        <v>58022.50247</v>
      </c>
      <c r="AJ46" s="63">
        <f t="shared" si="9"/>
        <v>-56198.24919</v>
      </c>
      <c r="AK46" s="63">
        <f t="shared" si="9"/>
        <v>73996.58748</v>
      </c>
      <c r="AL46" s="63">
        <f t="shared" si="9"/>
        <v>226107.2009</v>
      </c>
      <c r="AM46" s="63">
        <f t="shared" si="9"/>
        <v>5750.134272</v>
      </c>
      <c r="AN46" s="63">
        <f t="shared" si="9"/>
        <v>78660.2905</v>
      </c>
      <c r="AO46" s="63">
        <f t="shared" si="9"/>
        <v>145858.8901</v>
      </c>
      <c r="AP46" s="63">
        <f t="shared" si="9"/>
        <v>57879.18734</v>
      </c>
      <c r="AQ46" s="63">
        <f t="shared" si="9"/>
        <v>36826.63666</v>
      </c>
      <c r="AR46" s="63">
        <f t="shared" si="9"/>
        <v>94789.07543</v>
      </c>
      <c r="AS46" s="63">
        <f t="shared" si="9"/>
        <v>85976.861</v>
      </c>
      <c r="AT46" s="63">
        <f t="shared" si="9"/>
        <v>124805.4104</v>
      </c>
      <c r="AU46" s="63">
        <f t="shared" si="9"/>
        <v>49198.82735</v>
      </c>
      <c r="AV46" s="63">
        <f t="shared" si="9"/>
        <v>-62434.08406</v>
      </c>
      <c r="AW46" s="63">
        <f t="shared" si="9"/>
        <v>64833.12716</v>
      </c>
      <c r="AX46" s="63">
        <f t="shared" si="9"/>
        <v>213521.1858</v>
      </c>
      <c r="AY46" s="63">
        <f t="shared" si="9"/>
        <v>-1853.159601</v>
      </c>
      <c r="AZ46" s="63">
        <f t="shared" si="9"/>
        <v>62591.75472</v>
      </c>
      <c r="BA46" s="63">
        <f t="shared" si="9"/>
        <v>108798.5817</v>
      </c>
      <c r="BB46" s="63">
        <f t="shared" si="9"/>
        <v>77284.2299</v>
      </c>
      <c r="BC46" s="63">
        <f t="shared" si="9"/>
        <v>29036.02961</v>
      </c>
      <c r="BD46" s="63">
        <f t="shared" si="9"/>
        <v>85007.18306</v>
      </c>
      <c r="BE46" s="63">
        <f t="shared" si="9"/>
        <v>76401.94107</v>
      </c>
      <c r="BF46" s="63">
        <f t="shared" si="9"/>
        <v>114370.578</v>
      </c>
      <c r="BG46" s="63">
        <f t="shared" si="9"/>
        <v>40467.06276</v>
      </c>
      <c r="BH46" s="63">
        <f t="shared" si="9"/>
        <v>-68655.52565</v>
      </c>
      <c r="BI46" s="63">
        <f t="shared" si="9"/>
        <v>55770.59473</v>
      </c>
      <c r="BJ46" s="63">
        <f t="shared" si="9"/>
        <v>201137.3745</v>
      </c>
      <c r="BK46" s="63">
        <f t="shared" si="9"/>
        <v>-188027.5248</v>
      </c>
      <c r="BL46" s="25"/>
      <c r="BM46" s="25"/>
    </row>
    <row r="47">
      <c r="A47" s="36" t="s">
        <v>206</v>
      </c>
      <c r="B47" s="25"/>
      <c r="C47" s="25"/>
      <c r="D47" s="63">
        <f t="array" ref="D47">IFERROR(1*INDEX('Profit &amp; Loss'!$1:$996, MATCH("EBITDA*", 'Profit &amp; Loss'!$A:$A, 0), COLUMN()), 0)</f>
        <v>146498.9739</v>
      </c>
      <c r="E47" s="63">
        <f t="array" ref="E47">IFERROR(1*INDEX('Profit &amp; Loss'!$1:$996, MATCH("EBITDA*", 'Profit &amp; Loss'!$A:$A, 0), COLUMN()), 0)</f>
        <v>153812.7653</v>
      </c>
      <c r="F47" s="63">
        <f t="array" ref="F47">IFERROR(1*INDEX('Profit &amp; Loss'!$1:$996, MATCH("EBITDA*", 'Profit &amp; Loss'!$A:$A, 0), COLUMN()), 0)</f>
        <v>156589.3083</v>
      </c>
      <c r="G47" s="63">
        <f t="array" ref="G47">IFERROR(1*INDEX('Profit &amp; Loss'!$1:$996, MATCH("EBITDA*", 'Profit &amp; Loss'!$A:$A, 0), COLUMN()), 0)</f>
        <v>147276.5088</v>
      </c>
      <c r="H47" s="63">
        <f t="array" ref="H47">IFERROR(1*INDEX('Profit &amp; Loss'!$1:$996, MATCH("EBITDA*", 'Profit &amp; Loss'!$A:$A, 0), COLUMN()), 0)</f>
        <v>150844.4693</v>
      </c>
      <c r="I47" s="63">
        <f t="array" ref="I47">IFERROR(1*INDEX('Profit &amp; Loss'!$1:$996, MATCH("EBITDA*", 'Profit &amp; Loss'!$A:$A, 0), COLUMN()), 0)</f>
        <v>150091.8862</v>
      </c>
      <c r="J47" s="63">
        <f t="array" ref="J47">IFERROR(1*INDEX('Profit &amp; Loss'!$1:$996, MATCH("EBITDA*", 'Profit &amp; Loss'!$A:$A, 0), COLUMN()), 0)</f>
        <v>158838.0014</v>
      </c>
      <c r="K47" s="63">
        <f t="array" ref="K47">IFERROR(1*INDEX('Profit &amp; Loss'!$1:$996, MATCH("EBITDA*", 'Profit &amp; Loss'!$A:$A, 0), COLUMN()), 0)</f>
        <v>157351.6642</v>
      </c>
      <c r="L47" s="63">
        <f t="array" ref="L47">IFERROR(1*INDEX('Profit &amp; Loss'!$1:$996, MATCH("EBITDA*", 'Profit &amp; Loss'!$A:$A, 0), COLUMN()), 0)</f>
        <v>131581.2875</v>
      </c>
      <c r="M47" s="63">
        <f t="array" ref="M47">IFERROR(1*INDEX('Profit &amp; Loss'!$1:$996, MATCH("EBITDA*", 'Profit &amp; Loss'!$A:$A, 0), COLUMN()), 0)</f>
        <v>125202.2889</v>
      </c>
      <c r="N47" s="63">
        <f t="array" ref="N47">IFERROR(1*INDEX('Profit &amp; Loss'!$1:$996, MATCH("EBITDA*", 'Profit &amp; Loss'!$A:$A, 0), COLUMN()), 0)</f>
        <v>156446.4384</v>
      </c>
      <c r="O47" s="63">
        <f t="array" ref="O47">IFERROR(1*INDEX('Profit &amp; Loss'!$1:$996, MATCH("EBITDA*", 'Profit &amp; Loss'!$A:$A, 0), COLUMN()), 0)</f>
        <v>140629.4976</v>
      </c>
      <c r="P47" s="63">
        <f t="array" ref="P47">IFERROR(1*INDEX('Profit &amp; Loss'!$1:$996, MATCH("EBITDA*", 'Profit &amp; Loss'!$A:$A, 0), COLUMN()), 0)</f>
        <v>132692.3361</v>
      </c>
      <c r="Q47" s="63">
        <f t="array" ref="Q47">IFERROR(1*INDEX('Profit &amp; Loss'!$1:$996, MATCH("EBITDA*", 'Profit &amp; Loss'!$A:$A, 0), COLUMN()), 0)</f>
        <v>139859.5862</v>
      </c>
      <c r="R47" s="63">
        <f t="array" ref="R47">IFERROR(1*INDEX('Profit &amp; Loss'!$1:$996, MATCH("EBITDA*", 'Profit &amp; Loss'!$A:$A, 0), COLUMN()), 0)</f>
        <v>142589.4713</v>
      </c>
      <c r="S47" s="63">
        <f t="array" ref="S47">IFERROR(1*INDEX('Profit &amp; Loss'!$1:$996, MATCH("EBITDA*", 'Profit &amp; Loss'!$A:$A, 0), COLUMN()), 0)</f>
        <v>133502.394</v>
      </c>
      <c r="T47" s="63">
        <f t="array" ref="T47">IFERROR(1*INDEX('Profit &amp; Loss'!$1:$996, MATCH("EBITDA*", 'Profit &amp; Loss'!$A:$A, 0), COLUMN()), 0)</f>
        <v>137006.9102</v>
      </c>
      <c r="U47" s="63">
        <f t="array" ref="U47">IFERROR(1*INDEX('Profit &amp; Loss'!$1:$996, MATCH("EBITDA*", 'Profit &amp; Loss'!$A:$A, 0), COLUMN()), 0)</f>
        <v>136288.1245</v>
      </c>
      <c r="V47" s="63">
        <f t="array" ref="V47">IFERROR(1*INDEX('Profit &amp; Loss'!$1:$996, MATCH("EBITDA*", 'Profit &amp; Loss'!$A:$A, 0), COLUMN()), 0)</f>
        <v>144854.6351</v>
      </c>
      <c r="W47" s="63">
        <f t="array" ref="W47">IFERROR(1*INDEX('Profit &amp; Loss'!$1:$996, MATCH("EBITDA*", 'Profit &amp; Loss'!$A:$A, 0), COLUMN()), 0)</f>
        <v>143418.3571</v>
      </c>
      <c r="X47" s="63">
        <f t="array" ref="X47">IFERROR(1*INDEX('Profit &amp; Loss'!$1:$996, MATCH("EBITDA*", 'Profit &amp; Loss'!$A:$A, 0), COLUMN()), 0)</f>
        <v>118241.9142</v>
      </c>
      <c r="Y47" s="63">
        <f t="array" ref="Y47">IFERROR(1*INDEX('Profit &amp; Loss'!$1:$996, MATCH("EBITDA*", 'Profit &amp; Loss'!$A:$A, 0), COLUMN()), 0)</f>
        <v>112021.8613</v>
      </c>
      <c r="Z47" s="63">
        <f t="array" ref="Z47">IFERROR(1*INDEX('Profit &amp; Loss'!$1:$996, MATCH("EBITDA*", 'Profit &amp; Loss'!$A:$A, 0), COLUMN()), 0)</f>
        <v>142582.6476</v>
      </c>
      <c r="AA47" s="63">
        <f t="array" ref="AA47">IFERROR(1*INDEX('Profit &amp; Loss'!$1:$996, MATCH("EBITDA*", 'Profit &amp; Loss'!$A:$A, 0), COLUMN()), 0)</f>
        <v>127135.8972</v>
      </c>
      <c r="AB47" s="63">
        <f t="array" ref="AB47">IFERROR(1*INDEX('Profit &amp; Loss'!$1:$996, MATCH("EBITDA*", 'Profit &amp; Loss'!$A:$A, 0), COLUMN()), 0)</f>
        <v>119068.8184</v>
      </c>
      <c r="AC47" s="63">
        <f t="array" ref="AC47">IFERROR(1*INDEX('Profit &amp; Loss'!$1:$996, MATCH("EBITDA*", 'Profit &amp; Loss'!$A:$A, 0), COLUMN()), 0)</f>
        <v>126091.7723</v>
      </c>
      <c r="AD47" s="63">
        <f t="array" ref="AD47">IFERROR(1*INDEX('Profit &amp; Loss'!$1:$996, MATCH("EBITDA*", 'Profit &amp; Loss'!$A:$A, 0), COLUMN()), 0)</f>
        <v>128775.1125</v>
      </c>
      <c r="AE47" s="63">
        <f t="array" ref="AE47">IFERROR(1*INDEX('Profit &amp; Loss'!$1:$996, MATCH("EBITDA*", 'Profit &amp; Loss'!$A:$A, 0), COLUMN()), 0)</f>
        <v>119907.6744</v>
      </c>
      <c r="AF47" s="63">
        <f t="array" ref="AF47">IFERROR(1*INDEX('Profit &amp; Loss'!$1:$996, MATCH("EBITDA*", 'Profit &amp; Loss'!$A:$A, 0), COLUMN()), 0)</f>
        <v>123349.1788</v>
      </c>
      <c r="AG47" s="63">
        <f t="array" ref="AG47">IFERROR(1*INDEX('Profit &amp; Loss'!$1:$996, MATCH("EBITDA*", 'Profit &amp; Loss'!$A:$A, 0), COLUMN()), 0)</f>
        <v>122662.4169</v>
      </c>
      <c r="AH47" s="63">
        <f t="array" ref="AH47">IFERROR(1*INDEX('Profit &amp; Loss'!$1:$996, MATCH("EBITDA*", 'Profit &amp; Loss'!$A:$A, 0), COLUMN()), 0)</f>
        <v>131052.3677</v>
      </c>
      <c r="AI47" s="63">
        <f t="array" ref="AI47">IFERROR(1*INDEX('Profit &amp; Loss'!$1:$996, MATCH("EBITDA*", 'Profit &amp; Loss'!$A:$A, 0), COLUMN()), 0)</f>
        <v>129664.0216</v>
      </c>
      <c r="AJ47" s="63">
        <f t="array" ref="AJ47">IFERROR(1*INDEX('Profit &amp; Loss'!$1:$996, MATCH("EBITDA*", 'Profit &amp; Loss'!$A:$A, 0), COLUMN()), 0)</f>
        <v>105067.2077</v>
      </c>
      <c r="AK47" s="63">
        <f t="array" ref="AK47">IFERROR(1*INDEX('Profit &amp; Loss'!$1:$996, MATCH("EBITDA*", 'Profit &amp; Loss'!$A:$A, 0), COLUMN()), 0)</f>
        <v>99001.57674</v>
      </c>
      <c r="AL47" s="63">
        <f t="array" ref="AL47">IFERROR(1*INDEX('Profit &amp; Loss'!$1:$996, MATCH("EBITDA*", 'Profit &amp; Loss'!$A:$A, 0), COLUMN()), 0)</f>
        <v>128893.3169</v>
      </c>
      <c r="AM47" s="63">
        <f t="array" ref="AM47">IFERROR(1*INDEX('Profit &amp; Loss'!$1:$996, MATCH("EBITDA*", 'Profit &amp; Loss'!$A:$A, 0), COLUMN()), 0)</f>
        <v>113807.5112</v>
      </c>
      <c r="AN47" s="63">
        <f t="array" ref="AN47">IFERROR(1*INDEX('Profit &amp; Loss'!$1:$996, MATCH("EBITDA*", 'Profit &amp; Loss'!$A:$A, 0), COLUMN()), 0)</f>
        <v>105597.8629</v>
      </c>
      <c r="AO47" s="63">
        <f t="array" ref="AO47">IFERROR(1*INDEX('Profit &amp; Loss'!$1:$996, MATCH("EBITDA*", 'Profit &amp; Loss'!$A:$A, 0), COLUMN()), 0)</f>
        <v>118302.8401</v>
      </c>
      <c r="AP47" s="63">
        <f t="array" ref="AP47">IFERROR(1*INDEX('Profit &amp; Loss'!$1:$996, MATCH("EBITDA*", 'Profit &amp; Loss'!$A:$A, 0), COLUMN()), 0)</f>
        <v>115075.365</v>
      </c>
      <c r="AQ47" s="63">
        <f t="array" ref="AQ47">IFERROR(1*INDEX('Profit &amp; Loss'!$1:$996, MATCH("EBITDA*", 'Profit &amp; Loss'!$A:$A, 0), COLUMN()), 0)</f>
        <v>106423.1477</v>
      </c>
      <c r="AR47" s="63">
        <f t="array" ref="AR47">IFERROR(1*INDEX('Profit &amp; Loss'!$1:$996, MATCH("EBITDA*", 'Profit &amp; Loss'!$A:$A, 0), COLUMN()), 0)</f>
        <v>109801.5495</v>
      </c>
      <c r="AS47" s="63">
        <f t="array" ref="AS47">IFERROR(1*INDEX('Profit &amp; Loss'!$1:$996, MATCH("EBITDA*", 'Profit &amp; Loss'!$A:$A, 0), COLUMN()), 0)</f>
        <v>109145.2501</v>
      </c>
      <c r="AT47" s="63">
        <f t="array" ref="AT47">IFERROR(1*INDEX('Profit &amp; Loss'!$1:$996, MATCH("EBITDA*", 'Profit &amp; Loss'!$A:$A, 0), COLUMN()), 0)</f>
        <v>117360.2835</v>
      </c>
      <c r="AU47" s="63">
        <f t="array" ref="AU47">IFERROR(1*INDEX('Profit &amp; Loss'!$1:$996, MATCH("EBITDA*", 'Profit &amp; Loss'!$A:$A, 0), COLUMN()), 0)</f>
        <v>116018.0776</v>
      </c>
      <c r="AV47" s="63">
        <f t="array" ref="AV47">IFERROR(1*INDEX('Profit &amp; Loss'!$1:$996, MATCH("EBITDA*", 'Profit &amp; Loss'!$A:$A, 0), COLUMN()), 0)</f>
        <v>91991.04184</v>
      </c>
      <c r="AW47" s="63">
        <f t="array" ref="AW47">IFERROR(1*INDEX('Profit &amp; Loss'!$1:$996, MATCH("EBITDA*", 'Profit &amp; Loss'!$A:$A, 0), COLUMN()), 0)</f>
        <v>86076.47095</v>
      </c>
      <c r="AX47" s="63">
        <f t="array" ref="AX47">IFERROR(1*INDEX('Profit &amp; Loss'!$1:$996, MATCH("EBITDA*", 'Profit &amp; Loss'!$A:$A, 0), COLUMN()), 0)</f>
        <v>115308.2648</v>
      </c>
      <c r="AY47" s="63">
        <f t="array" ref="AY47">IFERROR(1*INDEX('Profit &amp; Loss'!$1:$996, MATCH("EBITDA*", 'Profit &amp; Loss'!$A:$A, 0), COLUMN()), 0)</f>
        <v>100576.9198</v>
      </c>
      <c r="AZ47" s="63">
        <f t="array" ref="AZ47">IFERROR(1*INDEX('Profit &amp; Loss'!$1:$996, MATCH("EBITDA*", 'Profit &amp; Loss'!$A:$A, 0), COLUMN()), 0)</f>
        <v>92212.22406</v>
      </c>
      <c r="BA47" s="63">
        <f t="array" ref="BA47">IFERROR(1*INDEX('Profit &amp; Loss'!$1:$996, MATCH("EBITDA*", 'Profit &amp; Loss'!$A:$A, 0), COLUMN()), 0)</f>
        <v>98952.2228</v>
      </c>
      <c r="BB47" s="63">
        <f t="array" ref="BB47">IFERROR(1*INDEX('Profit &amp; Loss'!$1:$996, MATCH("EBITDA*", 'Profit &amp; Loss'!$A:$A, 0), COLUMN()), 0)</f>
        <v>101542.5818</v>
      </c>
      <c r="BC47" s="63">
        <f t="array" ref="BC47">IFERROR(1*INDEX('Profit &amp; Loss'!$1:$996, MATCH("EBITDA*", 'Profit &amp; Loss'!$A:$A, 0), COLUMN()), 0)</f>
        <v>93098.38764</v>
      </c>
      <c r="BD47" s="63">
        <f t="array" ref="BD47">IFERROR(1*INDEX('Profit &amp; Loss'!$1:$996, MATCH("EBITDA*", 'Profit &amp; Loss'!$A:$A, 0), COLUMN()), 0)</f>
        <v>96414.79735</v>
      </c>
      <c r="BE47" s="63">
        <f t="array" ref="BE47">IFERROR(1*INDEX('Profit &amp; Loss'!$1:$996, MATCH("EBITDA*", 'Profit &amp; Loss'!$A:$A, 0), COLUMN()), 0)</f>
        <v>95787.26632</v>
      </c>
      <c r="BF47" s="63">
        <f t="array" ref="BF47">IFERROR(1*INDEX('Profit &amp; Loss'!$1:$996, MATCH("EBITDA*", 'Profit &amp; Loss'!$A:$A, 0), COLUMN()), 0)</f>
        <v>103831.8262</v>
      </c>
      <c r="BG47" s="63">
        <f t="array" ref="BG47">IFERROR(1*INDEX('Profit &amp; Loss'!$1:$996, MATCH("EBITDA*", 'Profit &amp; Loss'!$A:$A, 0), COLUMN()), 0)</f>
        <v>102533.6083</v>
      </c>
      <c r="BH47" s="63">
        <f t="array" ref="BH47">IFERROR(1*INDEX('Profit &amp; Loss'!$1:$996, MATCH("EBITDA*", 'Profit &amp; Loss'!$A:$A, 0), COLUMN()), 0)</f>
        <v>79058.62768</v>
      </c>
      <c r="BI47" s="63">
        <f t="array" ref="BI47">IFERROR(1*INDEX('Profit &amp; Loss'!$1:$996, MATCH("EBITDA*", 'Profit &amp; Loss'!$A:$A, 0), COLUMN()), 0)</f>
        <v>73289.87686</v>
      </c>
      <c r="BJ47" s="63">
        <f t="array" ref="BJ47">IFERROR(1*INDEX('Profit &amp; Loss'!$1:$996, MATCH("EBITDA*", 'Profit &amp; Loss'!$A:$A, 0), COLUMN()), 0)</f>
        <v>101880.5856</v>
      </c>
      <c r="BK47" s="63">
        <f t="array" ref="BK47">IFERROR(1*INDEX('Profit &amp; Loss'!$1:$996, MATCH("EBITDA*", 'Profit &amp; Loss'!$A:$A, 0), COLUMN()), 0)</f>
        <v>87492.4193</v>
      </c>
      <c r="BL47" s="25"/>
      <c r="BM47" s="25"/>
    </row>
    <row r="48">
      <c r="A48" s="36" t="s">
        <v>581</v>
      </c>
      <c r="B48" s="25"/>
      <c r="C48" s="25"/>
      <c r="D48" s="63">
        <f t="shared" ref="D48:BK48" si="10">D46 - D47</f>
        <v>827521.6523</v>
      </c>
      <c r="E48" s="63">
        <f t="shared" si="10"/>
        <v>18020.99835</v>
      </c>
      <c r="F48" s="63">
        <f t="shared" si="10"/>
        <v>-40140.72179</v>
      </c>
      <c r="G48" s="63">
        <f t="shared" si="10"/>
        <v>-83703.49119</v>
      </c>
      <c r="H48" s="63">
        <f t="shared" si="10"/>
        <v>-26027.22493</v>
      </c>
      <c r="I48" s="63">
        <f t="shared" si="10"/>
        <v>-34742.2434</v>
      </c>
      <c r="J48" s="63">
        <f t="shared" si="10"/>
        <v>-1957.080122</v>
      </c>
      <c r="K48" s="63">
        <f t="shared" si="10"/>
        <v>-81441.92087</v>
      </c>
      <c r="L48" s="63">
        <f t="shared" si="10"/>
        <v>-175210.1499</v>
      </c>
      <c r="M48" s="63">
        <f t="shared" si="10"/>
        <v>-32625.0086</v>
      </c>
      <c r="N48" s="63">
        <f t="shared" si="10"/>
        <v>95269.46364</v>
      </c>
      <c r="O48" s="63">
        <f t="shared" si="10"/>
        <v>-119507.7326</v>
      </c>
      <c r="P48" s="63">
        <f t="shared" si="10"/>
        <v>-42614.59416</v>
      </c>
      <c r="Q48" s="63">
        <f t="shared" si="10"/>
        <v>395.0685614</v>
      </c>
      <c r="R48" s="63">
        <f t="shared" si="10"/>
        <v>-36104.77437</v>
      </c>
      <c r="S48" s="63">
        <f t="shared" si="10"/>
        <v>-78697.97758</v>
      </c>
      <c r="T48" s="63">
        <f t="shared" si="10"/>
        <v>-22318.15682</v>
      </c>
      <c r="U48" s="63">
        <f t="shared" si="10"/>
        <v>-30843.36373</v>
      </c>
      <c r="V48" s="63">
        <f t="shared" si="10"/>
        <v>1202.961027</v>
      </c>
      <c r="W48" s="63">
        <f t="shared" si="10"/>
        <v>-76506.76855</v>
      </c>
      <c r="X48" s="63">
        <f t="shared" si="10"/>
        <v>-168179.531</v>
      </c>
      <c r="Y48" s="63">
        <f t="shared" si="10"/>
        <v>-28792.67879</v>
      </c>
      <c r="Z48" s="63">
        <f t="shared" si="10"/>
        <v>96231.6908</v>
      </c>
      <c r="AA48" s="63">
        <f t="shared" si="10"/>
        <v>-113738.8331</v>
      </c>
      <c r="AB48" s="63">
        <f t="shared" si="10"/>
        <v>-38249.26759</v>
      </c>
      <c r="AC48" s="63">
        <f t="shared" si="10"/>
        <v>3565.331519</v>
      </c>
      <c r="AD48" s="63">
        <f t="shared" si="10"/>
        <v>-32120.14419</v>
      </c>
      <c r="AE48" s="63">
        <f t="shared" si="10"/>
        <v>-73765.12512</v>
      </c>
      <c r="AF48" s="63">
        <f t="shared" si="10"/>
        <v>-18652.43964</v>
      </c>
      <c r="AG48" s="63">
        <f t="shared" si="10"/>
        <v>-26991.76248</v>
      </c>
      <c r="AH48" s="63">
        <f t="shared" si="10"/>
        <v>4332.540785</v>
      </c>
      <c r="AI48" s="63">
        <f t="shared" si="10"/>
        <v>-71641.51915</v>
      </c>
      <c r="AJ48" s="63">
        <f t="shared" si="10"/>
        <v>-161265.4569</v>
      </c>
      <c r="AK48" s="63">
        <f t="shared" si="10"/>
        <v>-25004.98925</v>
      </c>
      <c r="AL48" s="63">
        <f t="shared" si="10"/>
        <v>97213.88397</v>
      </c>
      <c r="AM48" s="63">
        <f t="shared" si="10"/>
        <v>-108057.3769</v>
      </c>
      <c r="AN48" s="63">
        <f t="shared" si="10"/>
        <v>-26937.57241</v>
      </c>
      <c r="AO48" s="63">
        <f t="shared" si="10"/>
        <v>27556.05002</v>
      </c>
      <c r="AP48" s="63">
        <f t="shared" si="10"/>
        <v>-57196.17768</v>
      </c>
      <c r="AQ48" s="63">
        <f t="shared" si="10"/>
        <v>-69596.51103</v>
      </c>
      <c r="AR48" s="63">
        <f t="shared" si="10"/>
        <v>-15012.47412</v>
      </c>
      <c r="AS48" s="63">
        <f t="shared" si="10"/>
        <v>-23168.38915</v>
      </c>
      <c r="AT48" s="63">
        <f t="shared" si="10"/>
        <v>7445.12685</v>
      </c>
      <c r="AU48" s="63">
        <f t="shared" si="10"/>
        <v>-66819.25026</v>
      </c>
      <c r="AV48" s="63">
        <f t="shared" si="10"/>
        <v>-154425.1259</v>
      </c>
      <c r="AW48" s="63">
        <f t="shared" si="10"/>
        <v>-21243.34379</v>
      </c>
      <c r="AX48" s="63">
        <f t="shared" si="10"/>
        <v>98212.92108</v>
      </c>
      <c r="AY48" s="63">
        <f t="shared" si="10"/>
        <v>-102430.0794</v>
      </c>
      <c r="AZ48" s="63">
        <f t="shared" si="10"/>
        <v>-29620.46934</v>
      </c>
      <c r="BA48" s="63">
        <f t="shared" si="10"/>
        <v>9846.358934</v>
      </c>
      <c r="BB48" s="63">
        <f t="shared" si="10"/>
        <v>-24258.35193</v>
      </c>
      <c r="BC48" s="63">
        <f t="shared" si="10"/>
        <v>-64062.35803</v>
      </c>
      <c r="BD48" s="63">
        <f t="shared" si="10"/>
        <v>-11407.61429</v>
      </c>
      <c r="BE48" s="63">
        <f t="shared" si="10"/>
        <v>-19385.32525</v>
      </c>
      <c r="BF48" s="63">
        <f t="shared" si="10"/>
        <v>10538.7518</v>
      </c>
      <c r="BG48" s="63">
        <f t="shared" si="10"/>
        <v>-62066.54552</v>
      </c>
      <c r="BH48" s="63">
        <f t="shared" si="10"/>
        <v>-147714.1533</v>
      </c>
      <c r="BI48" s="63">
        <f t="shared" si="10"/>
        <v>-17519.28213</v>
      </c>
      <c r="BJ48" s="63">
        <f t="shared" si="10"/>
        <v>99256.78889</v>
      </c>
      <c r="BK48" s="63">
        <f t="shared" si="10"/>
        <v>-275519.9441</v>
      </c>
      <c r="BL48" s="25"/>
      <c r="BM48" s="25"/>
    </row>
    <row r="49">
      <c r="A49" s="36" t="s">
        <v>582</v>
      </c>
      <c r="B49" s="25"/>
      <c r="C49" s="25"/>
      <c r="D49" s="63">
        <f t="shared" ref="D49:BK49" si="11">D47 + D48</f>
        <v>974020.6262</v>
      </c>
      <c r="E49" s="63">
        <f t="shared" si="11"/>
        <v>171833.7636</v>
      </c>
      <c r="F49" s="63">
        <f t="shared" si="11"/>
        <v>116448.5865</v>
      </c>
      <c r="G49" s="63">
        <f t="shared" si="11"/>
        <v>63573.01758</v>
      </c>
      <c r="H49" s="63">
        <f t="shared" si="11"/>
        <v>124817.2443</v>
      </c>
      <c r="I49" s="63">
        <f t="shared" si="11"/>
        <v>115349.6428</v>
      </c>
      <c r="J49" s="63">
        <f t="shared" si="11"/>
        <v>156880.9212</v>
      </c>
      <c r="K49" s="63">
        <f t="shared" si="11"/>
        <v>75909.7433</v>
      </c>
      <c r="L49" s="63">
        <f t="shared" si="11"/>
        <v>-43628.86247</v>
      </c>
      <c r="M49" s="63">
        <f t="shared" si="11"/>
        <v>92577.28029</v>
      </c>
      <c r="N49" s="63">
        <f t="shared" si="11"/>
        <v>251715.9021</v>
      </c>
      <c r="O49" s="63">
        <f t="shared" si="11"/>
        <v>21121.76506</v>
      </c>
      <c r="P49" s="63">
        <f t="shared" si="11"/>
        <v>90077.74196</v>
      </c>
      <c r="Q49" s="63">
        <f t="shared" si="11"/>
        <v>140254.6547</v>
      </c>
      <c r="R49" s="63">
        <f t="shared" si="11"/>
        <v>106484.6969</v>
      </c>
      <c r="S49" s="63">
        <f t="shared" si="11"/>
        <v>54804.41644</v>
      </c>
      <c r="T49" s="63">
        <f t="shared" si="11"/>
        <v>114688.7534</v>
      </c>
      <c r="U49" s="63">
        <f t="shared" si="11"/>
        <v>105444.7607</v>
      </c>
      <c r="V49" s="63">
        <f t="shared" si="11"/>
        <v>146057.5962</v>
      </c>
      <c r="W49" s="63">
        <f t="shared" si="11"/>
        <v>66911.58855</v>
      </c>
      <c r="X49" s="63">
        <f t="shared" si="11"/>
        <v>-49937.61681</v>
      </c>
      <c r="Y49" s="63">
        <f t="shared" si="11"/>
        <v>83229.18249</v>
      </c>
      <c r="Z49" s="63">
        <f t="shared" si="11"/>
        <v>238814.3384</v>
      </c>
      <c r="AA49" s="63">
        <f t="shared" si="11"/>
        <v>13397.06411</v>
      </c>
      <c r="AB49" s="63">
        <f t="shared" si="11"/>
        <v>80819.55078</v>
      </c>
      <c r="AC49" s="63">
        <f t="shared" si="11"/>
        <v>129657.1039</v>
      </c>
      <c r="AD49" s="63">
        <f t="shared" si="11"/>
        <v>96654.96833</v>
      </c>
      <c r="AE49" s="63">
        <f t="shared" si="11"/>
        <v>46142.5493</v>
      </c>
      <c r="AF49" s="63">
        <f t="shared" si="11"/>
        <v>104696.7391</v>
      </c>
      <c r="AG49" s="63">
        <f t="shared" si="11"/>
        <v>95670.65444</v>
      </c>
      <c r="AH49" s="63">
        <f t="shared" si="11"/>
        <v>135384.9085</v>
      </c>
      <c r="AI49" s="63">
        <f t="shared" si="11"/>
        <v>58022.50247</v>
      </c>
      <c r="AJ49" s="63">
        <f t="shared" si="11"/>
        <v>-56198.24919</v>
      </c>
      <c r="AK49" s="63">
        <f t="shared" si="11"/>
        <v>73996.58748</v>
      </c>
      <c r="AL49" s="63">
        <f t="shared" si="11"/>
        <v>226107.2009</v>
      </c>
      <c r="AM49" s="63">
        <f t="shared" si="11"/>
        <v>5750.134272</v>
      </c>
      <c r="AN49" s="63">
        <f t="shared" si="11"/>
        <v>78660.2905</v>
      </c>
      <c r="AO49" s="63">
        <f t="shared" si="11"/>
        <v>145858.8901</v>
      </c>
      <c r="AP49" s="63">
        <f t="shared" si="11"/>
        <v>57879.18734</v>
      </c>
      <c r="AQ49" s="63">
        <f t="shared" si="11"/>
        <v>36826.63666</v>
      </c>
      <c r="AR49" s="63">
        <f t="shared" si="11"/>
        <v>94789.07543</v>
      </c>
      <c r="AS49" s="63">
        <f t="shared" si="11"/>
        <v>85976.861</v>
      </c>
      <c r="AT49" s="63">
        <f t="shared" si="11"/>
        <v>124805.4104</v>
      </c>
      <c r="AU49" s="63">
        <f t="shared" si="11"/>
        <v>49198.82735</v>
      </c>
      <c r="AV49" s="63">
        <f t="shared" si="11"/>
        <v>-62434.08406</v>
      </c>
      <c r="AW49" s="63">
        <f t="shared" si="11"/>
        <v>64833.12716</v>
      </c>
      <c r="AX49" s="63">
        <f t="shared" si="11"/>
        <v>213521.1858</v>
      </c>
      <c r="AY49" s="63">
        <f t="shared" si="11"/>
        <v>-1853.159601</v>
      </c>
      <c r="AZ49" s="63">
        <f t="shared" si="11"/>
        <v>62591.75472</v>
      </c>
      <c r="BA49" s="63">
        <f t="shared" si="11"/>
        <v>108798.5817</v>
      </c>
      <c r="BB49" s="63">
        <f t="shared" si="11"/>
        <v>77284.2299</v>
      </c>
      <c r="BC49" s="63">
        <f t="shared" si="11"/>
        <v>29036.02961</v>
      </c>
      <c r="BD49" s="63">
        <f t="shared" si="11"/>
        <v>85007.18306</v>
      </c>
      <c r="BE49" s="63">
        <f t="shared" si="11"/>
        <v>76401.94107</v>
      </c>
      <c r="BF49" s="63">
        <f t="shared" si="11"/>
        <v>114370.578</v>
      </c>
      <c r="BG49" s="63">
        <f t="shared" si="11"/>
        <v>40467.06276</v>
      </c>
      <c r="BH49" s="63">
        <f t="shared" si="11"/>
        <v>-68655.52565</v>
      </c>
      <c r="BI49" s="63">
        <f t="shared" si="11"/>
        <v>55770.59473</v>
      </c>
      <c r="BJ49" s="63">
        <f t="shared" si="11"/>
        <v>201137.3745</v>
      </c>
      <c r="BK49" s="63">
        <f t="shared" si="11"/>
        <v>-188027.5248</v>
      </c>
      <c r="BL49" s="25"/>
      <c r="BM49" s="25"/>
    </row>
    <row r="50">
      <c r="A50" s="36" t="s">
        <v>584</v>
      </c>
      <c r="B50" s="25"/>
      <c r="C50" s="25"/>
      <c r="D50" s="25" t="b">
        <f t="shared" ref="D50:BK50" si="12">ROUND(D46 - D49, 2) = 0</f>
        <v>1</v>
      </c>
      <c r="E50" s="25" t="b">
        <f t="shared" si="12"/>
        <v>1</v>
      </c>
      <c r="F50" s="25" t="b">
        <f t="shared" si="12"/>
        <v>1</v>
      </c>
      <c r="G50" s="25" t="b">
        <f t="shared" si="12"/>
        <v>1</v>
      </c>
      <c r="H50" s="25" t="b">
        <f t="shared" si="12"/>
        <v>1</v>
      </c>
      <c r="I50" s="25" t="b">
        <f t="shared" si="12"/>
        <v>1</v>
      </c>
      <c r="J50" s="25" t="b">
        <f t="shared" si="12"/>
        <v>1</v>
      </c>
      <c r="K50" s="25" t="b">
        <f t="shared" si="12"/>
        <v>1</v>
      </c>
      <c r="L50" s="25" t="b">
        <f t="shared" si="12"/>
        <v>1</v>
      </c>
      <c r="M50" s="25" t="b">
        <f t="shared" si="12"/>
        <v>1</v>
      </c>
      <c r="N50" s="25" t="b">
        <f t="shared" si="12"/>
        <v>1</v>
      </c>
      <c r="O50" s="25" t="b">
        <f t="shared" si="12"/>
        <v>1</v>
      </c>
      <c r="P50" s="25" t="b">
        <f t="shared" si="12"/>
        <v>1</v>
      </c>
      <c r="Q50" s="25" t="b">
        <f t="shared" si="12"/>
        <v>1</v>
      </c>
      <c r="R50" s="25" t="b">
        <f t="shared" si="12"/>
        <v>1</v>
      </c>
      <c r="S50" s="25" t="b">
        <f t="shared" si="12"/>
        <v>1</v>
      </c>
      <c r="T50" s="25" t="b">
        <f t="shared" si="12"/>
        <v>1</v>
      </c>
      <c r="U50" s="25" t="b">
        <f t="shared" si="12"/>
        <v>1</v>
      </c>
      <c r="V50" s="25" t="b">
        <f t="shared" si="12"/>
        <v>1</v>
      </c>
      <c r="W50" s="25" t="b">
        <f t="shared" si="12"/>
        <v>1</v>
      </c>
      <c r="X50" s="25" t="b">
        <f t="shared" si="12"/>
        <v>1</v>
      </c>
      <c r="Y50" s="25" t="b">
        <f t="shared" si="12"/>
        <v>1</v>
      </c>
      <c r="Z50" s="25" t="b">
        <f t="shared" si="12"/>
        <v>1</v>
      </c>
      <c r="AA50" s="25" t="b">
        <f t="shared" si="12"/>
        <v>1</v>
      </c>
      <c r="AB50" s="25" t="b">
        <f t="shared" si="12"/>
        <v>1</v>
      </c>
      <c r="AC50" s="25" t="b">
        <f t="shared" si="12"/>
        <v>1</v>
      </c>
      <c r="AD50" s="25" t="b">
        <f t="shared" si="12"/>
        <v>1</v>
      </c>
      <c r="AE50" s="25" t="b">
        <f t="shared" si="12"/>
        <v>1</v>
      </c>
      <c r="AF50" s="25" t="b">
        <f t="shared" si="12"/>
        <v>1</v>
      </c>
      <c r="AG50" s="25" t="b">
        <f t="shared" si="12"/>
        <v>1</v>
      </c>
      <c r="AH50" s="25" t="b">
        <f t="shared" si="12"/>
        <v>1</v>
      </c>
      <c r="AI50" s="25" t="b">
        <f t="shared" si="12"/>
        <v>1</v>
      </c>
      <c r="AJ50" s="25" t="b">
        <f t="shared" si="12"/>
        <v>1</v>
      </c>
      <c r="AK50" s="25" t="b">
        <f t="shared" si="12"/>
        <v>1</v>
      </c>
      <c r="AL50" s="25" t="b">
        <f t="shared" si="12"/>
        <v>1</v>
      </c>
      <c r="AM50" s="25" t="b">
        <f t="shared" si="12"/>
        <v>1</v>
      </c>
      <c r="AN50" s="25" t="b">
        <f t="shared" si="12"/>
        <v>1</v>
      </c>
      <c r="AO50" s="25" t="b">
        <f t="shared" si="12"/>
        <v>1</v>
      </c>
      <c r="AP50" s="25" t="b">
        <f t="shared" si="12"/>
        <v>1</v>
      </c>
      <c r="AQ50" s="25" t="b">
        <f t="shared" si="12"/>
        <v>1</v>
      </c>
      <c r="AR50" s="25" t="b">
        <f t="shared" si="12"/>
        <v>1</v>
      </c>
      <c r="AS50" s="25" t="b">
        <f t="shared" si="12"/>
        <v>1</v>
      </c>
      <c r="AT50" s="25" t="b">
        <f t="shared" si="12"/>
        <v>1</v>
      </c>
      <c r="AU50" s="25" t="b">
        <f t="shared" si="12"/>
        <v>1</v>
      </c>
      <c r="AV50" s="25" t="b">
        <f t="shared" si="12"/>
        <v>1</v>
      </c>
      <c r="AW50" s="25" t="b">
        <f t="shared" si="12"/>
        <v>1</v>
      </c>
      <c r="AX50" s="25" t="b">
        <f t="shared" si="12"/>
        <v>1</v>
      </c>
      <c r="AY50" s="25" t="b">
        <f t="shared" si="12"/>
        <v>1</v>
      </c>
      <c r="AZ50" s="25" t="b">
        <f t="shared" si="12"/>
        <v>1</v>
      </c>
      <c r="BA50" s="25" t="b">
        <f t="shared" si="12"/>
        <v>1</v>
      </c>
      <c r="BB50" s="25" t="b">
        <f t="shared" si="12"/>
        <v>1</v>
      </c>
      <c r="BC50" s="25" t="b">
        <f t="shared" si="12"/>
        <v>1</v>
      </c>
      <c r="BD50" s="25" t="b">
        <f t="shared" si="12"/>
        <v>1</v>
      </c>
      <c r="BE50" s="25" t="b">
        <f t="shared" si="12"/>
        <v>1</v>
      </c>
      <c r="BF50" s="25" t="b">
        <f t="shared" si="12"/>
        <v>1</v>
      </c>
      <c r="BG50" s="25" t="b">
        <f t="shared" si="12"/>
        <v>1</v>
      </c>
      <c r="BH50" s="25" t="b">
        <f t="shared" si="12"/>
        <v>1</v>
      </c>
      <c r="BI50" s="25" t="b">
        <f t="shared" si="12"/>
        <v>1</v>
      </c>
      <c r="BJ50" s="25" t="b">
        <f t="shared" si="12"/>
        <v>1</v>
      </c>
      <c r="BK50" s="25" t="b">
        <f t="shared" si="12"/>
        <v>1</v>
      </c>
      <c r="BL50" s="25"/>
      <c r="BM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</row>
    <row r="52">
      <c r="A52" s="59" t="s">
        <v>585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25"/>
      <c r="BM52" s="25"/>
    </row>
    <row r="53">
      <c r="A53" s="36" t="s">
        <v>586</v>
      </c>
      <c r="B53" s="25"/>
      <c r="C53" s="25"/>
      <c r="D53" s="63">
        <f>-'Paso 5 Resumen Desglose de Inve'!$D$25 * IF(COLUMN()=4, $C$19, IF(COLUMN()=5, $D$19, IF(COLUMN()=6, $E$19, 0)))</f>
        <v>-575958.5522</v>
      </c>
      <c r="E53" s="63">
        <f>-'Paso 5 Resumen Desglose de Inve'!$D$25 * IF(COLUMN()=4, $C$19, IF(COLUMN()=5, $D$19, IF(COLUMN()=6, $E$19, 0)))</f>
        <v>-345575.1313</v>
      </c>
      <c r="F53" s="63">
        <f>-'Paso 5 Resumen Desglose de Inve'!$D$25 * IF(COLUMN()=4, $C$19, IF(COLUMN()=5, $D$19, IF(COLUMN()=6, $E$19, 0)))</f>
        <v>-230383.4209</v>
      </c>
      <c r="G53" s="63">
        <f>-'Paso 5 Resumen Desglose de Inve'!$D$25 * IF(COLUMN()=4, $C$19, IF(COLUMN()=5, $D$19, IF(COLUMN()=6, $E$19, 0)))</f>
        <v>0</v>
      </c>
      <c r="H53" s="63">
        <f>-'Paso 5 Resumen Desglose de Inve'!$D$25 * IF(COLUMN()=4, $C$19, IF(COLUMN()=5, $D$19, IF(COLUMN()=6, $E$19, 0)))</f>
        <v>0</v>
      </c>
      <c r="I53" s="63">
        <f>-'Paso 5 Resumen Desglose de Inve'!$D$25 * IF(COLUMN()=4, $C$19, IF(COLUMN()=5, $D$19, IF(COLUMN()=6, $E$19, 0)))</f>
        <v>0</v>
      </c>
      <c r="J53" s="63">
        <f>-'Paso 5 Resumen Desglose de Inve'!$D$25 * IF(COLUMN()=4, $C$19, IF(COLUMN()=5, $D$19, IF(COLUMN()=6, $E$19, 0)))</f>
        <v>0</v>
      </c>
      <c r="K53" s="63">
        <f>-'Paso 5 Resumen Desglose de Inve'!$D$25 * IF(COLUMN()=4, $C$19, IF(COLUMN()=5, $D$19, IF(COLUMN()=6, $E$19, 0)))</f>
        <v>0</v>
      </c>
      <c r="L53" s="63">
        <f>-'Paso 5 Resumen Desglose de Inve'!$D$25 * IF(COLUMN()=4, $C$19, IF(COLUMN()=5, $D$19, IF(COLUMN()=6, $E$19, 0)))</f>
        <v>0</v>
      </c>
      <c r="M53" s="63">
        <f>-'Paso 5 Resumen Desglose de Inve'!$D$25 * IF(COLUMN()=4, $C$19, IF(COLUMN()=5, $D$19, IF(COLUMN()=6, $E$19, 0)))</f>
        <v>0</v>
      </c>
      <c r="N53" s="63">
        <f>-'Paso 5 Resumen Desglose de Inve'!$D$25 * IF(COLUMN()=4, $C$19, IF(COLUMN()=5, $D$19, IF(COLUMN()=6, $E$19, 0)))</f>
        <v>0</v>
      </c>
      <c r="O53" s="63">
        <f>-'Paso 5 Resumen Desglose de Inve'!$D$25 * IF(COLUMN()=4, $C$19, IF(COLUMN()=5, $D$19, IF(COLUMN()=6, $E$19, 0)))</f>
        <v>0</v>
      </c>
      <c r="P53" s="63">
        <f>-'Paso 5 Resumen Desglose de Inve'!$D$25 * IF(COLUMN()=4, $C$19, IF(COLUMN()=5, $D$19, IF(COLUMN()=6, $E$19, 0)))</f>
        <v>0</v>
      </c>
      <c r="Q53" s="63">
        <f>-'Paso 5 Resumen Desglose de Inve'!$D$25 * IF(COLUMN()=4, $C$19, IF(COLUMN()=5, $D$19, IF(COLUMN()=6, $E$19, 0)))</f>
        <v>0</v>
      </c>
      <c r="R53" s="63">
        <f>-'Paso 5 Resumen Desglose de Inve'!$D$25 * IF(COLUMN()=4, $C$19, IF(COLUMN()=5, $D$19, IF(COLUMN()=6, $E$19, 0)))</f>
        <v>0</v>
      </c>
      <c r="S53" s="63">
        <f>-'Paso 5 Resumen Desglose de Inve'!$D$25 * IF(COLUMN()=4, $C$19, IF(COLUMN()=5, $D$19, IF(COLUMN()=6, $E$19, 0)))</f>
        <v>0</v>
      </c>
      <c r="T53" s="63">
        <f>-'Paso 5 Resumen Desglose de Inve'!$D$25 * IF(COLUMN()=4, $C$19, IF(COLUMN()=5, $D$19, IF(COLUMN()=6, $E$19, 0)))</f>
        <v>0</v>
      </c>
      <c r="U53" s="63">
        <f>-'Paso 5 Resumen Desglose de Inve'!$D$25 * IF(COLUMN()=4, $C$19, IF(COLUMN()=5, $D$19, IF(COLUMN()=6, $E$19, 0)))</f>
        <v>0</v>
      </c>
      <c r="V53" s="63">
        <f>-'Paso 5 Resumen Desglose de Inve'!$D$25 * IF(COLUMN()=4, $C$19, IF(COLUMN()=5, $D$19, IF(COLUMN()=6, $E$19, 0)))</f>
        <v>0</v>
      </c>
      <c r="W53" s="63">
        <f>-'Paso 5 Resumen Desglose de Inve'!$D$25 * IF(COLUMN()=4, $C$19, IF(COLUMN()=5, $D$19, IF(COLUMN()=6, $E$19, 0)))</f>
        <v>0</v>
      </c>
      <c r="X53" s="63">
        <f>-'Paso 5 Resumen Desglose de Inve'!$D$25 * IF(COLUMN()=4, $C$19, IF(COLUMN()=5, $D$19, IF(COLUMN()=6, $E$19, 0)))</f>
        <v>0</v>
      </c>
      <c r="Y53" s="63">
        <f>-'Paso 5 Resumen Desglose de Inve'!$D$25 * IF(COLUMN()=4, $C$19, IF(COLUMN()=5, $D$19, IF(COLUMN()=6, $E$19, 0)))</f>
        <v>0</v>
      </c>
      <c r="Z53" s="63">
        <f>-'Paso 5 Resumen Desglose de Inve'!$D$25 * IF(COLUMN()=4, $C$19, IF(COLUMN()=5, $D$19, IF(COLUMN()=6, $E$19, 0)))</f>
        <v>0</v>
      </c>
      <c r="AA53" s="63">
        <f>-'Paso 5 Resumen Desglose de Inve'!$D$25 * IF(COLUMN()=4, $C$19, IF(COLUMN()=5, $D$19, IF(COLUMN()=6, $E$19, 0)))</f>
        <v>0</v>
      </c>
      <c r="AB53" s="63">
        <f>-'Paso 5 Resumen Desglose de Inve'!$D$25 * IF(COLUMN()=4, $C$19, IF(COLUMN()=5, $D$19, IF(COLUMN()=6, $E$19, 0)))</f>
        <v>0</v>
      </c>
      <c r="AC53" s="63">
        <f>-'Paso 5 Resumen Desglose de Inve'!$D$25 * IF(COLUMN()=4, $C$19, IF(COLUMN()=5, $D$19, IF(COLUMN()=6, $E$19, 0)))</f>
        <v>0</v>
      </c>
      <c r="AD53" s="63">
        <f>-'Paso 5 Resumen Desglose de Inve'!$D$25 * IF(COLUMN()=4, $C$19, IF(COLUMN()=5, $D$19, IF(COLUMN()=6, $E$19, 0)))</f>
        <v>0</v>
      </c>
      <c r="AE53" s="63">
        <f>-'Paso 5 Resumen Desglose de Inve'!$D$25 * IF(COLUMN()=4, $C$19, IF(COLUMN()=5, $D$19, IF(COLUMN()=6, $E$19, 0)))</f>
        <v>0</v>
      </c>
      <c r="AF53" s="63">
        <f>-'Paso 5 Resumen Desglose de Inve'!$D$25 * IF(COLUMN()=4, $C$19, IF(COLUMN()=5, $D$19, IF(COLUMN()=6, $E$19, 0)))</f>
        <v>0</v>
      </c>
      <c r="AG53" s="63">
        <f>-'Paso 5 Resumen Desglose de Inve'!$D$25 * IF(COLUMN()=4, $C$19, IF(COLUMN()=5, $D$19, IF(COLUMN()=6, $E$19, 0)))</f>
        <v>0</v>
      </c>
      <c r="AH53" s="63">
        <f>-'Paso 5 Resumen Desglose de Inve'!$D$25 * IF(COLUMN()=4, $C$19, IF(COLUMN()=5, $D$19, IF(COLUMN()=6, $E$19, 0)))</f>
        <v>0</v>
      </c>
      <c r="AI53" s="63">
        <f>-'Paso 5 Resumen Desglose de Inve'!$D$25 * IF(COLUMN()=4, $C$19, IF(COLUMN()=5, $D$19, IF(COLUMN()=6, $E$19, 0)))</f>
        <v>0</v>
      </c>
      <c r="AJ53" s="63">
        <f>-'Paso 5 Resumen Desglose de Inve'!$D$25 * IF(COLUMN()=4, $C$19, IF(COLUMN()=5, $D$19, IF(COLUMN()=6, $E$19, 0)))</f>
        <v>0</v>
      </c>
      <c r="AK53" s="63">
        <f>-'Paso 5 Resumen Desglose de Inve'!$D$25 * IF(COLUMN()=4, $C$19, IF(COLUMN()=5, $D$19, IF(COLUMN()=6, $E$19, 0)))</f>
        <v>0</v>
      </c>
      <c r="AL53" s="63">
        <f>-'Paso 5 Resumen Desglose de Inve'!$D$25 * IF(COLUMN()=4, $C$19, IF(COLUMN()=5, $D$19, IF(COLUMN()=6, $E$19, 0)))</f>
        <v>0</v>
      </c>
      <c r="AM53" s="63">
        <f>-'Paso 5 Resumen Desglose de Inve'!$D$25 * IF(COLUMN()=4, $C$19, IF(COLUMN()=5, $D$19, IF(COLUMN()=6, $E$19, 0)))</f>
        <v>0</v>
      </c>
      <c r="AN53" s="63">
        <f>-'Paso 5 Resumen Desglose de Inve'!$D$25 * IF(COLUMN()=4, $C$19, IF(COLUMN()=5, $D$19, IF(COLUMN()=6, $E$19, 0)))</f>
        <v>0</v>
      </c>
      <c r="AO53" s="63">
        <f>-'Paso 5 Resumen Desglose de Inve'!$D$25 * IF(COLUMN()=4, $C$19, IF(COLUMN()=5, $D$19, IF(COLUMN()=6, $E$19, 0)))</f>
        <v>0</v>
      </c>
      <c r="AP53" s="63">
        <f>-'Paso 5 Resumen Desglose de Inve'!$D$25 * IF(COLUMN()=4, $C$19, IF(COLUMN()=5, $D$19, IF(COLUMN()=6, $E$19, 0)))</f>
        <v>0</v>
      </c>
      <c r="AQ53" s="63">
        <f>-'Paso 5 Resumen Desglose de Inve'!$D$25 * IF(COLUMN()=4, $C$19, IF(COLUMN()=5, $D$19, IF(COLUMN()=6, $E$19, 0)))</f>
        <v>0</v>
      </c>
      <c r="AR53" s="63">
        <f>-'Paso 5 Resumen Desglose de Inve'!$D$25 * IF(COLUMN()=4, $C$19, IF(COLUMN()=5, $D$19, IF(COLUMN()=6, $E$19, 0)))</f>
        <v>0</v>
      </c>
      <c r="AS53" s="63">
        <f>-'Paso 5 Resumen Desglose de Inve'!$D$25 * IF(COLUMN()=4, $C$19, IF(COLUMN()=5, $D$19, IF(COLUMN()=6, $E$19, 0)))</f>
        <v>0</v>
      </c>
      <c r="AT53" s="63">
        <f>-'Paso 5 Resumen Desglose de Inve'!$D$25 * IF(COLUMN()=4, $C$19, IF(COLUMN()=5, $D$19, IF(COLUMN()=6, $E$19, 0)))</f>
        <v>0</v>
      </c>
      <c r="AU53" s="63">
        <f>-'Paso 5 Resumen Desglose de Inve'!$D$25 * IF(COLUMN()=4, $C$19, IF(COLUMN()=5, $D$19, IF(COLUMN()=6, $E$19, 0)))</f>
        <v>0</v>
      </c>
      <c r="AV53" s="63">
        <f>-'Paso 5 Resumen Desglose de Inve'!$D$25 * IF(COLUMN()=4, $C$19, IF(COLUMN()=5, $D$19, IF(COLUMN()=6, $E$19, 0)))</f>
        <v>0</v>
      </c>
      <c r="AW53" s="63">
        <f>-'Paso 5 Resumen Desglose de Inve'!$D$25 * IF(COLUMN()=4, $C$19, IF(COLUMN()=5, $D$19, IF(COLUMN()=6, $E$19, 0)))</f>
        <v>0</v>
      </c>
      <c r="AX53" s="63">
        <f>-'Paso 5 Resumen Desglose de Inve'!$D$25 * IF(COLUMN()=4, $C$19, IF(COLUMN()=5, $D$19, IF(COLUMN()=6, $E$19, 0)))</f>
        <v>0</v>
      </c>
      <c r="AY53" s="63">
        <f>-'Paso 5 Resumen Desglose de Inve'!$D$25 * IF(COLUMN()=4, $C$19, IF(COLUMN()=5, $D$19, IF(COLUMN()=6, $E$19, 0)))</f>
        <v>0</v>
      </c>
      <c r="AZ53" s="63">
        <f>-'Paso 5 Resumen Desglose de Inve'!$D$25 * IF(COLUMN()=4, $C$19, IF(COLUMN()=5, $D$19, IF(COLUMN()=6, $E$19, 0)))</f>
        <v>0</v>
      </c>
      <c r="BA53" s="63">
        <f>-'Paso 5 Resumen Desglose de Inve'!$D$25 * IF(COLUMN()=4, $C$19, IF(COLUMN()=5, $D$19, IF(COLUMN()=6, $E$19, 0)))</f>
        <v>0</v>
      </c>
      <c r="BB53" s="63">
        <f>-'Paso 5 Resumen Desglose de Inve'!$D$25 * IF(COLUMN()=4, $C$19, IF(COLUMN()=5, $D$19, IF(COLUMN()=6, $E$19, 0)))</f>
        <v>0</v>
      </c>
      <c r="BC53" s="63">
        <f>-'Paso 5 Resumen Desglose de Inve'!$D$25 * IF(COLUMN()=4, $C$19, IF(COLUMN()=5, $D$19, IF(COLUMN()=6, $E$19, 0)))</f>
        <v>0</v>
      </c>
      <c r="BD53" s="63">
        <f>-'Paso 5 Resumen Desglose de Inve'!$D$25 * IF(COLUMN()=4, $C$19, IF(COLUMN()=5, $D$19, IF(COLUMN()=6, $E$19, 0)))</f>
        <v>0</v>
      </c>
      <c r="BE53" s="63">
        <f>-'Paso 5 Resumen Desglose de Inve'!$D$25 * IF(COLUMN()=4, $C$19, IF(COLUMN()=5, $D$19, IF(COLUMN()=6, $E$19, 0)))</f>
        <v>0</v>
      </c>
      <c r="BF53" s="63">
        <f>-'Paso 5 Resumen Desglose de Inve'!$D$25 * IF(COLUMN()=4, $C$19, IF(COLUMN()=5, $D$19, IF(COLUMN()=6, $E$19, 0)))</f>
        <v>0</v>
      </c>
      <c r="BG53" s="63">
        <f>-'Paso 5 Resumen Desglose de Inve'!$D$25 * IF(COLUMN()=4, $C$19, IF(COLUMN()=5, $D$19, IF(COLUMN()=6, $E$19, 0)))</f>
        <v>0</v>
      </c>
      <c r="BH53" s="63">
        <f>-'Paso 5 Resumen Desglose de Inve'!$D$25 * IF(COLUMN()=4, $C$19, IF(COLUMN()=5, $D$19, IF(COLUMN()=6, $E$19, 0)))</f>
        <v>0</v>
      </c>
      <c r="BI53" s="63">
        <f>-'Paso 5 Resumen Desglose de Inve'!$D$25 * IF(COLUMN()=4, $C$19, IF(COLUMN()=5, $D$19, IF(COLUMN()=6, $E$19, 0)))</f>
        <v>0</v>
      </c>
      <c r="BJ53" s="63">
        <f>-'Paso 5 Resumen Desglose de Inve'!$D$25 * IF(COLUMN()=4, $C$19, IF(COLUMN()=5, $D$19, IF(COLUMN()=6, $E$19, 0)))</f>
        <v>0</v>
      </c>
      <c r="BK53" s="63">
        <f>-'Paso 5 Resumen Desglose de Inve'!$D$25 * IF(COLUMN()=4, $C$19, IF(COLUMN()=5, $D$19, IF(COLUMN()=6, $E$19, 0)))</f>
        <v>0</v>
      </c>
      <c r="BL53" s="25"/>
      <c r="BM53" s="25"/>
    </row>
    <row r="54">
      <c r="A54" s="36" t="s">
        <v>593</v>
      </c>
      <c r="B54" s="25"/>
      <c r="C54" s="25"/>
      <c r="D54" s="63">
        <f>-'Paso 5 Resumen Desglose de Inve'!$D$35 * IF(COLUMN()=4, $C$19, IF(COLUMN()=5, $D$19, IF(COLUMN()=6, $E$19, 0)))</f>
        <v>-142694.382</v>
      </c>
      <c r="E54" s="63">
        <f>-'Paso 5 Resumen Desglose de Inve'!$D$35 * IF(COLUMN()=4, $C$19, IF(COLUMN()=5, $D$19, IF(COLUMN()=6, $E$19, 0)))</f>
        <v>-85616.62921</v>
      </c>
      <c r="F54" s="63">
        <f>-'Paso 5 Resumen Desglose de Inve'!$D$35 * IF(COLUMN()=4, $C$19, IF(COLUMN()=5, $D$19, IF(COLUMN()=6, $E$19, 0)))</f>
        <v>-57077.75281</v>
      </c>
      <c r="G54" s="63">
        <f>-'Paso 5 Resumen Desglose de Inve'!$D$35 * IF(COLUMN()=4, $C$19, IF(COLUMN()=5, $D$19, IF(COLUMN()=6, $E$19, 0)))</f>
        <v>0</v>
      </c>
      <c r="H54" s="63">
        <f>-'Paso 5 Resumen Desglose de Inve'!$D$35 * IF(COLUMN()=4, $C$19, IF(COLUMN()=5, $D$19, IF(COLUMN()=6, $E$19, 0)))</f>
        <v>0</v>
      </c>
      <c r="I54" s="63">
        <f>-'Paso 5 Resumen Desglose de Inve'!$D$35 * IF(COLUMN()=4, $C$19, IF(COLUMN()=5, $D$19, IF(COLUMN()=6, $E$19, 0)))</f>
        <v>0</v>
      </c>
      <c r="J54" s="63">
        <f>-'Paso 5 Resumen Desglose de Inve'!$D$35 * IF(COLUMN()=4, $C$19, IF(COLUMN()=5, $D$19, IF(COLUMN()=6, $E$19, 0)))</f>
        <v>0</v>
      </c>
      <c r="K54" s="63">
        <f>-'Paso 5 Resumen Desglose de Inve'!$D$35 * IF(COLUMN()=4, $C$19, IF(COLUMN()=5, $D$19, IF(COLUMN()=6, $E$19, 0)))</f>
        <v>0</v>
      </c>
      <c r="L54" s="63">
        <f>-'Paso 5 Resumen Desglose de Inve'!$D$35 * IF(COLUMN()=4, $C$19, IF(COLUMN()=5, $D$19, IF(COLUMN()=6, $E$19, 0)))</f>
        <v>0</v>
      </c>
      <c r="M54" s="63">
        <f>-'Paso 5 Resumen Desglose de Inve'!$D$35 * IF(COLUMN()=4, $C$19, IF(COLUMN()=5, $D$19, IF(COLUMN()=6, $E$19, 0)))</f>
        <v>0</v>
      </c>
      <c r="N54" s="63">
        <f>-'Paso 5 Resumen Desglose de Inve'!$D$35 * IF(COLUMN()=4, $C$19, IF(COLUMN()=5, $D$19, IF(COLUMN()=6, $E$19, 0)))</f>
        <v>0</v>
      </c>
      <c r="O54" s="63">
        <f>-'Paso 5 Resumen Desglose de Inve'!$D$35 * IF(COLUMN()=4, $C$19, IF(COLUMN()=5, $D$19, IF(COLUMN()=6, $E$19, 0)))</f>
        <v>0</v>
      </c>
      <c r="P54" s="63">
        <f>-'Paso 5 Resumen Desglose de Inve'!$D$35 * IF(COLUMN()=4, $C$19, IF(COLUMN()=5, $D$19, IF(COLUMN()=6, $E$19, 0)))</f>
        <v>0</v>
      </c>
      <c r="Q54" s="63">
        <f>-'Paso 5 Resumen Desglose de Inve'!$D$35 * IF(COLUMN()=4, $C$19, IF(COLUMN()=5, $D$19, IF(COLUMN()=6, $E$19, 0)))</f>
        <v>0</v>
      </c>
      <c r="R54" s="63">
        <f>-'Paso 5 Resumen Desglose de Inve'!$D$35 * IF(COLUMN()=4, $C$19, IF(COLUMN()=5, $D$19, IF(COLUMN()=6, $E$19, 0)))</f>
        <v>0</v>
      </c>
      <c r="S54" s="63">
        <f>-'Paso 5 Resumen Desglose de Inve'!$D$35 * IF(COLUMN()=4, $C$19, IF(COLUMN()=5, $D$19, IF(COLUMN()=6, $E$19, 0)))</f>
        <v>0</v>
      </c>
      <c r="T54" s="63">
        <f>-'Paso 5 Resumen Desglose de Inve'!$D$35 * IF(COLUMN()=4, $C$19, IF(COLUMN()=5, $D$19, IF(COLUMN()=6, $E$19, 0)))</f>
        <v>0</v>
      </c>
      <c r="U54" s="63">
        <f>-'Paso 5 Resumen Desglose de Inve'!$D$35 * IF(COLUMN()=4, $C$19, IF(COLUMN()=5, $D$19, IF(COLUMN()=6, $E$19, 0)))</f>
        <v>0</v>
      </c>
      <c r="V54" s="63">
        <f>-'Paso 5 Resumen Desglose de Inve'!$D$35 * IF(COLUMN()=4, $C$19, IF(COLUMN()=5, $D$19, IF(COLUMN()=6, $E$19, 0)))</f>
        <v>0</v>
      </c>
      <c r="W54" s="63">
        <f>-'Paso 5 Resumen Desglose de Inve'!$D$35 * IF(COLUMN()=4, $C$19, IF(COLUMN()=5, $D$19, IF(COLUMN()=6, $E$19, 0)))</f>
        <v>0</v>
      </c>
      <c r="X54" s="63">
        <f>-'Paso 5 Resumen Desglose de Inve'!$D$35 * IF(COLUMN()=4, $C$19, IF(COLUMN()=5, $D$19, IF(COLUMN()=6, $E$19, 0)))</f>
        <v>0</v>
      </c>
      <c r="Y54" s="63">
        <f>-'Paso 5 Resumen Desglose de Inve'!$D$35 * IF(COLUMN()=4, $C$19, IF(COLUMN()=5, $D$19, IF(COLUMN()=6, $E$19, 0)))</f>
        <v>0</v>
      </c>
      <c r="Z54" s="63">
        <f>-'Paso 5 Resumen Desglose de Inve'!$D$35 * IF(COLUMN()=4, $C$19, IF(COLUMN()=5, $D$19, IF(COLUMN()=6, $E$19, 0)))</f>
        <v>0</v>
      </c>
      <c r="AA54" s="63">
        <f>-'Paso 5 Resumen Desglose de Inve'!$D$35 * IF(COLUMN()=4, $C$19, IF(COLUMN()=5, $D$19, IF(COLUMN()=6, $E$19, 0)))</f>
        <v>0</v>
      </c>
      <c r="AB54" s="63">
        <f>-'Paso 5 Resumen Desglose de Inve'!$D$35 * IF(COLUMN()=4, $C$19, IF(COLUMN()=5, $D$19, IF(COLUMN()=6, $E$19, 0)))</f>
        <v>0</v>
      </c>
      <c r="AC54" s="63">
        <f>-'Paso 5 Resumen Desglose de Inve'!$D$35 * IF(COLUMN()=4, $C$19, IF(COLUMN()=5, $D$19, IF(COLUMN()=6, $E$19, 0)))</f>
        <v>0</v>
      </c>
      <c r="AD54" s="63">
        <f>-'Paso 5 Resumen Desglose de Inve'!$D$35 * IF(COLUMN()=4, $C$19, IF(COLUMN()=5, $D$19, IF(COLUMN()=6, $E$19, 0)))</f>
        <v>0</v>
      </c>
      <c r="AE54" s="63">
        <f>-'Paso 5 Resumen Desglose de Inve'!$D$35 * IF(COLUMN()=4, $C$19, IF(COLUMN()=5, $D$19, IF(COLUMN()=6, $E$19, 0)))</f>
        <v>0</v>
      </c>
      <c r="AF54" s="63">
        <f>-'Paso 5 Resumen Desglose de Inve'!$D$35 * IF(COLUMN()=4, $C$19, IF(COLUMN()=5, $D$19, IF(COLUMN()=6, $E$19, 0)))</f>
        <v>0</v>
      </c>
      <c r="AG54" s="63">
        <f>-'Paso 5 Resumen Desglose de Inve'!$D$35 * IF(COLUMN()=4, $C$19, IF(COLUMN()=5, $D$19, IF(COLUMN()=6, $E$19, 0)))</f>
        <v>0</v>
      </c>
      <c r="AH54" s="63">
        <f>-'Paso 5 Resumen Desglose de Inve'!$D$35 * IF(COLUMN()=4, $C$19, IF(COLUMN()=5, $D$19, IF(COLUMN()=6, $E$19, 0)))</f>
        <v>0</v>
      </c>
      <c r="AI54" s="63">
        <f>-'Paso 5 Resumen Desglose de Inve'!$D$35 * IF(COLUMN()=4, $C$19, IF(COLUMN()=5, $D$19, IF(COLUMN()=6, $E$19, 0)))</f>
        <v>0</v>
      </c>
      <c r="AJ54" s="63">
        <f>-'Paso 5 Resumen Desglose de Inve'!$D$35 * IF(COLUMN()=4, $C$19, IF(COLUMN()=5, $D$19, IF(COLUMN()=6, $E$19, 0)))</f>
        <v>0</v>
      </c>
      <c r="AK54" s="63">
        <f>-'Paso 5 Resumen Desglose de Inve'!$D$35 * IF(COLUMN()=4, $C$19, IF(COLUMN()=5, $D$19, IF(COLUMN()=6, $E$19, 0)))</f>
        <v>0</v>
      </c>
      <c r="AL54" s="63">
        <f>-'Paso 5 Resumen Desglose de Inve'!$D$35 * IF(COLUMN()=4, $C$19, IF(COLUMN()=5, $D$19, IF(COLUMN()=6, $E$19, 0)))</f>
        <v>0</v>
      </c>
      <c r="AM54" s="63">
        <f>-'Paso 5 Resumen Desglose de Inve'!$D$35 * IF(COLUMN()=4, $C$19, IF(COLUMN()=5, $D$19, IF(COLUMN()=6, $E$19, 0)))</f>
        <v>0</v>
      </c>
      <c r="AN54" s="63">
        <f>-'Paso 5 Resumen Desglose de Inve'!$D$35 * IF(COLUMN()=4, $C$19, IF(COLUMN()=5, $D$19, IF(COLUMN()=6, $E$19, 0)))</f>
        <v>0</v>
      </c>
      <c r="AO54" s="63">
        <f>-'Paso 5 Resumen Desglose de Inve'!$D$35 * IF(COLUMN()=4, $C$19, IF(COLUMN()=5, $D$19, IF(COLUMN()=6, $E$19, 0)))</f>
        <v>0</v>
      </c>
      <c r="AP54" s="63">
        <f>-'Paso 5 Resumen Desglose de Inve'!$D$35 * IF(COLUMN()=4, $C$19, IF(COLUMN()=5, $D$19, IF(COLUMN()=6, $E$19, 0)))</f>
        <v>0</v>
      </c>
      <c r="AQ54" s="63">
        <f>-'Paso 5 Resumen Desglose de Inve'!$D$35 * IF(COLUMN()=4, $C$19, IF(COLUMN()=5, $D$19, IF(COLUMN()=6, $E$19, 0)))</f>
        <v>0</v>
      </c>
      <c r="AR54" s="63">
        <f>-'Paso 5 Resumen Desglose de Inve'!$D$35 * IF(COLUMN()=4, $C$19, IF(COLUMN()=5, $D$19, IF(COLUMN()=6, $E$19, 0)))</f>
        <v>0</v>
      </c>
      <c r="AS54" s="63">
        <f>-'Paso 5 Resumen Desglose de Inve'!$D$35 * IF(COLUMN()=4, $C$19, IF(COLUMN()=5, $D$19, IF(COLUMN()=6, $E$19, 0)))</f>
        <v>0</v>
      </c>
      <c r="AT54" s="63">
        <f>-'Paso 5 Resumen Desglose de Inve'!$D$35 * IF(COLUMN()=4, $C$19, IF(COLUMN()=5, $D$19, IF(COLUMN()=6, $E$19, 0)))</f>
        <v>0</v>
      </c>
      <c r="AU54" s="63">
        <f>-'Paso 5 Resumen Desglose de Inve'!$D$35 * IF(COLUMN()=4, $C$19, IF(COLUMN()=5, $D$19, IF(COLUMN()=6, $E$19, 0)))</f>
        <v>0</v>
      </c>
      <c r="AV54" s="63">
        <f>-'Paso 5 Resumen Desglose de Inve'!$D$35 * IF(COLUMN()=4, $C$19, IF(COLUMN()=5, $D$19, IF(COLUMN()=6, $E$19, 0)))</f>
        <v>0</v>
      </c>
      <c r="AW54" s="63">
        <f>-'Paso 5 Resumen Desglose de Inve'!$D$35 * IF(COLUMN()=4, $C$19, IF(COLUMN()=5, $D$19, IF(COLUMN()=6, $E$19, 0)))</f>
        <v>0</v>
      </c>
      <c r="AX54" s="63">
        <f>-'Paso 5 Resumen Desglose de Inve'!$D$35 * IF(COLUMN()=4, $C$19, IF(COLUMN()=5, $D$19, IF(COLUMN()=6, $E$19, 0)))</f>
        <v>0</v>
      </c>
      <c r="AY54" s="63">
        <f>-'Paso 5 Resumen Desglose de Inve'!$D$35 * IF(COLUMN()=4, $C$19, IF(COLUMN()=5, $D$19, IF(COLUMN()=6, $E$19, 0)))</f>
        <v>0</v>
      </c>
      <c r="AZ54" s="63">
        <f>-'Paso 5 Resumen Desglose de Inve'!$D$35 * IF(COLUMN()=4, $C$19, IF(COLUMN()=5, $D$19, IF(COLUMN()=6, $E$19, 0)))</f>
        <v>0</v>
      </c>
      <c r="BA54" s="63">
        <f>-'Paso 5 Resumen Desglose de Inve'!$D$35 * IF(COLUMN()=4, $C$19, IF(COLUMN()=5, $D$19, IF(COLUMN()=6, $E$19, 0)))</f>
        <v>0</v>
      </c>
      <c r="BB54" s="63">
        <f>-'Paso 5 Resumen Desglose de Inve'!$D$35 * IF(COLUMN()=4, $C$19, IF(COLUMN()=5, $D$19, IF(COLUMN()=6, $E$19, 0)))</f>
        <v>0</v>
      </c>
      <c r="BC54" s="63">
        <f>-'Paso 5 Resumen Desglose de Inve'!$D$35 * IF(COLUMN()=4, $C$19, IF(COLUMN()=5, $D$19, IF(COLUMN()=6, $E$19, 0)))</f>
        <v>0</v>
      </c>
      <c r="BD54" s="63">
        <f>-'Paso 5 Resumen Desglose de Inve'!$D$35 * IF(COLUMN()=4, $C$19, IF(COLUMN()=5, $D$19, IF(COLUMN()=6, $E$19, 0)))</f>
        <v>0</v>
      </c>
      <c r="BE54" s="63">
        <f>-'Paso 5 Resumen Desglose de Inve'!$D$35 * IF(COLUMN()=4, $C$19, IF(COLUMN()=5, $D$19, IF(COLUMN()=6, $E$19, 0)))</f>
        <v>0</v>
      </c>
      <c r="BF54" s="63">
        <f>-'Paso 5 Resumen Desglose de Inve'!$D$35 * IF(COLUMN()=4, $C$19, IF(COLUMN()=5, $D$19, IF(COLUMN()=6, $E$19, 0)))</f>
        <v>0</v>
      </c>
      <c r="BG54" s="63">
        <f>-'Paso 5 Resumen Desglose de Inve'!$D$35 * IF(COLUMN()=4, $C$19, IF(COLUMN()=5, $D$19, IF(COLUMN()=6, $E$19, 0)))</f>
        <v>0</v>
      </c>
      <c r="BH54" s="63">
        <f>-'Paso 5 Resumen Desglose de Inve'!$D$35 * IF(COLUMN()=4, $C$19, IF(COLUMN()=5, $D$19, IF(COLUMN()=6, $E$19, 0)))</f>
        <v>0</v>
      </c>
      <c r="BI54" s="63">
        <f>-'Paso 5 Resumen Desglose de Inve'!$D$35 * IF(COLUMN()=4, $C$19, IF(COLUMN()=5, $D$19, IF(COLUMN()=6, $E$19, 0)))</f>
        <v>0</v>
      </c>
      <c r="BJ54" s="63">
        <f>-'Paso 5 Resumen Desglose de Inve'!$D$35 * IF(COLUMN()=4, $C$19, IF(COLUMN()=5, $D$19, IF(COLUMN()=6, $E$19, 0)))</f>
        <v>0</v>
      </c>
      <c r="BK54" s="63">
        <f>-'Paso 5 Resumen Desglose de Inve'!$D$35 * IF(COLUMN()=4, $C$19, IF(COLUMN()=5, $D$19, IF(COLUMN()=6, $E$19, 0)))</f>
        <v>0</v>
      </c>
      <c r="BL54" s="25"/>
      <c r="BM54" s="25"/>
    </row>
    <row r="55">
      <c r="A55" s="36" t="s">
        <v>594</v>
      </c>
      <c r="B55" s="25"/>
      <c r="C55" s="25"/>
      <c r="D55" s="63">
        <f>-'Paso 5 Resumen Desglose de Inve'!$D$50 * IF(COLUMN()=4, $C$19, IF(COLUMN()=5, $D$19, IF(COLUMN()=6, $E$19, 0)))</f>
        <v>-209585.5</v>
      </c>
      <c r="E55" s="63">
        <f>-'Paso 5 Resumen Desglose de Inve'!$D$50 * IF(COLUMN()=4, $C$19, IF(COLUMN()=5, $D$19, IF(COLUMN()=6, $E$19, 0)))</f>
        <v>-125751.3</v>
      </c>
      <c r="F55" s="63">
        <f>-'Paso 5 Resumen Desglose de Inve'!$D$50 * IF(COLUMN()=4, $C$19, IF(COLUMN()=5, $D$19, IF(COLUMN()=6, $E$19, 0)))</f>
        <v>-83834.2</v>
      </c>
      <c r="G55" s="63">
        <f>-'Paso 5 Resumen Desglose de Inve'!$D$50 * IF(COLUMN()=4, $C$19, IF(COLUMN()=5, $D$19, IF(COLUMN()=6, $E$19, 0)))</f>
        <v>0</v>
      </c>
      <c r="H55" s="63">
        <f>-'Paso 5 Resumen Desglose de Inve'!$D$50 * IF(COLUMN()=4, $C$19, IF(COLUMN()=5, $D$19, IF(COLUMN()=6, $E$19, 0)))</f>
        <v>0</v>
      </c>
      <c r="I55" s="63">
        <f>-'Paso 5 Resumen Desglose de Inve'!$D$50 * IF(COLUMN()=4, $C$19, IF(COLUMN()=5, $D$19, IF(COLUMN()=6, $E$19, 0)))</f>
        <v>0</v>
      </c>
      <c r="J55" s="63">
        <f>-'Paso 5 Resumen Desglose de Inve'!$D$50 * IF(COLUMN()=4, $C$19, IF(COLUMN()=5, $D$19, IF(COLUMN()=6, $E$19, 0)))</f>
        <v>0</v>
      </c>
      <c r="K55" s="63">
        <f>-'Paso 5 Resumen Desglose de Inve'!$D$50 * IF(COLUMN()=4, $C$19, IF(COLUMN()=5, $D$19, IF(COLUMN()=6, $E$19, 0)))</f>
        <v>0</v>
      </c>
      <c r="L55" s="63">
        <f>-'Paso 5 Resumen Desglose de Inve'!$D$50 * IF(COLUMN()=4, $C$19, IF(COLUMN()=5, $D$19, IF(COLUMN()=6, $E$19, 0)))</f>
        <v>0</v>
      </c>
      <c r="M55" s="63">
        <f>-'Paso 5 Resumen Desglose de Inve'!$D$50 * IF(COLUMN()=4, $C$19, IF(COLUMN()=5, $D$19, IF(COLUMN()=6, $E$19, 0)))</f>
        <v>0</v>
      </c>
      <c r="N55" s="63">
        <f>-'Paso 5 Resumen Desglose de Inve'!$D$50 * IF(COLUMN()=4, $C$19, IF(COLUMN()=5, $D$19, IF(COLUMN()=6, $E$19, 0)))</f>
        <v>0</v>
      </c>
      <c r="O55" s="63">
        <f>-'Paso 5 Resumen Desglose de Inve'!$D$50 * IF(COLUMN()=4, $C$19, IF(COLUMN()=5, $D$19, IF(COLUMN()=6, $E$19, 0)))</f>
        <v>0</v>
      </c>
      <c r="P55" s="63">
        <f>-'Paso 5 Resumen Desglose de Inve'!$D$50 * IF(COLUMN()=4, $C$19, IF(COLUMN()=5, $D$19, IF(COLUMN()=6, $E$19, 0)))</f>
        <v>0</v>
      </c>
      <c r="Q55" s="63">
        <f>-'Paso 5 Resumen Desglose de Inve'!$D$50 * IF(COLUMN()=4, $C$19, IF(COLUMN()=5, $D$19, IF(COLUMN()=6, $E$19, 0)))</f>
        <v>0</v>
      </c>
      <c r="R55" s="63">
        <f>-'Paso 5 Resumen Desglose de Inve'!$D$50 * IF(COLUMN()=4, $C$19, IF(COLUMN()=5, $D$19, IF(COLUMN()=6, $E$19, 0)))</f>
        <v>0</v>
      </c>
      <c r="S55" s="63">
        <f>-'Paso 5 Resumen Desglose de Inve'!$D$50 * IF(COLUMN()=4, $C$19, IF(COLUMN()=5, $D$19, IF(COLUMN()=6, $E$19, 0)))</f>
        <v>0</v>
      </c>
      <c r="T55" s="63">
        <f>-'Paso 5 Resumen Desglose de Inve'!$D$50 * IF(COLUMN()=4, $C$19, IF(COLUMN()=5, $D$19, IF(COLUMN()=6, $E$19, 0)))</f>
        <v>0</v>
      </c>
      <c r="U55" s="63">
        <f>-'Paso 5 Resumen Desglose de Inve'!$D$50 * IF(COLUMN()=4, $C$19, IF(COLUMN()=5, $D$19, IF(COLUMN()=6, $E$19, 0)))</f>
        <v>0</v>
      </c>
      <c r="V55" s="63">
        <f>-'Paso 5 Resumen Desglose de Inve'!$D$50 * IF(COLUMN()=4, $C$19, IF(COLUMN()=5, $D$19, IF(COLUMN()=6, $E$19, 0)))</f>
        <v>0</v>
      </c>
      <c r="W55" s="63">
        <f>-'Paso 5 Resumen Desglose de Inve'!$D$50 * IF(COLUMN()=4, $C$19, IF(COLUMN()=5, $D$19, IF(COLUMN()=6, $E$19, 0)))</f>
        <v>0</v>
      </c>
      <c r="X55" s="63">
        <f>-'Paso 5 Resumen Desglose de Inve'!$D$50 * IF(COLUMN()=4, $C$19, IF(COLUMN()=5, $D$19, IF(COLUMN()=6, $E$19, 0)))</f>
        <v>0</v>
      </c>
      <c r="Y55" s="63">
        <f>-'Paso 5 Resumen Desglose de Inve'!$D$50 * IF(COLUMN()=4, $C$19, IF(COLUMN()=5, $D$19, IF(COLUMN()=6, $E$19, 0)))</f>
        <v>0</v>
      </c>
      <c r="Z55" s="63">
        <f>-'Paso 5 Resumen Desglose de Inve'!$D$50 * IF(COLUMN()=4, $C$19, IF(COLUMN()=5, $D$19, IF(COLUMN()=6, $E$19, 0)))</f>
        <v>0</v>
      </c>
      <c r="AA55" s="63">
        <f>-'Paso 5 Resumen Desglose de Inve'!$D$50 * IF(COLUMN()=4, $C$19, IF(COLUMN()=5, $D$19, IF(COLUMN()=6, $E$19, 0)))</f>
        <v>0</v>
      </c>
      <c r="AB55" s="63">
        <f>-'Paso 5 Resumen Desglose de Inve'!$D$50 * IF(COLUMN()=4, $C$19, IF(COLUMN()=5, $D$19, IF(COLUMN()=6, $E$19, 0)))</f>
        <v>0</v>
      </c>
      <c r="AC55" s="63">
        <f>-'Paso 5 Resumen Desglose de Inve'!$D$50 * IF(COLUMN()=4, $C$19, IF(COLUMN()=5, $D$19, IF(COLUMN()=6, $E$19, 0)))</f>
        <v>0</v>
      </c>
      <c r="AD55" s="63">
        <f>-'Paso 5 Resumen Desglose de Inve'!$D$50 * IF(COLUMN()=4, $C$19, IF(COLUMN()=5, $D$19, IF(COLUMN()=6, $E$19, 0)))</f>
        <v>0</v>
      </c>
      <c r="AE55" s="63">
        <f>-'Paso 5 Resumen Desglose de Inve'!$D$50 * IF(COLUMN()=4, $C$19, IF(COLUMN()=5, $D$19, IF(COLUMN()=6, $E$19, 0)))</f>
        <v>0</v>
      </c>
      <c r="AF55" s="63">
        <f>-'Paso 5 Resumen Desglose de Inve'!$D$50 * IF(COLUMN()=4, $C$19, IF(COLUMN()=5, $D$19, IF(COLUMN()=6, $E$19, 0)))</f>
        <v>0</v>
      </c>
      <c r="AG55" s="63">
        <f>-'Paso 5 Resumen Desglose de Inve'!$D$50 * IF(COLUMN()=4, $C$19, IF(COLUMN()=5, $D$19, IF(COLUMN()=6, $E$19, 0)))</f>
        <v>0</v>
      </c>
      <c r="AH55" s="63">
        <f>-'Paso 5 Resumen Desglose de Inve'!$D$50 * IF(COLUMN()=4, $C$19, IF(COLUMN()=5, $D$19, IF(COLUMN()=6, $E$19, 0)))</f>
        <v>0</v>
      </c>
      <c r="AI55" s="63">
        <f>-'Paso 5 Resumen Desglose de Inve'!$D$50 * IF(COLUMN()=4, $C$19, IF(COLUMN()=5, $D$19, IF(COLUMN()=6, $E$19, 0)))</f>
        <v>0</v>
      </c>
      <c r="AJ55" s="63">
        <f>-'Paso 5 Resumen Desglose de Inve'!$D$50 * IF(COLUMN()=4, $C$19, IF(COLUMN()=5, $D$19, IF(COLUMN()=6, $E$19, 0)))</f>
        <v>0</v>
      </c>
      <c r="AK55" s="63">
        <f>-'Paso 5 Resumen Desglose de Inve'!$D$50 * IF(COLUMN()=4, $C$19, IF(COLUMN()=5, $D$19, IF(COLUMN()=6, $E$19, 0)))</f>
        <v>0</v>
      </c>
      <c r="AL55" s="63">
        <f>-'Paso 5 Resumen Desglose de Inve'!$D$50 * IF(COLUMN()=4, $C$19, IF(COLUMN()=5, $D$19, IF(COLUMN()=6, $E$19, 0)))</f>
        <v>0</v>
      </c>
      <c r="AM55" s="63">
        <f>-'Paso 5 Resumen Desglose de Inve'!$D$50 * IF(COLUMN()=4, $C$19, IF(COLUMN()=5, $D$19, IF(COLUMN()=6, $E$19, 0)))</f>
        <v>0</v>
      </c>
      <c r="AN55" s="63">
        <f>-'Paso 5 Resumen Desglose de Inve'!$D$50 * IF(COLUMN()=4, $C$19, IF(COLUMN()=5, $D$19, IF(COLUMN()=6, $E$19, 0)))</f>
        <v>0</v>
      </c>
      <c r="AO55" s="63">
        <f>-'Paso 5 Resumen Desglose de Inve'!$D$50 * IF(COLUMN()=4, $C$19, IF(COLUMN()=5, $D$19, IF(COLUMN()=6, $E$19, 0)))</f>
        <v>0</v>
      </c>
      <c r="AP55" s="63">
        <f>-'Paso 5 Resumen Desglose de Inve'!$D$50 * IF(COLUMN()=4, $C$19, IF(COLUMN()=5, $D$19, IF(COLUMN()=6, $E$19, 0)))</f>
        <v>0</v>
      </c>
      <c r="AQ55" s="63">
        <f>-'Paso 5 Resumen Desglose de Inve'!$D$50 * IF(COLUMN()=4, $C$19, IF(COLUMN()=5, $D$19, IF(COLUMN()=6, $E$19, 0)))</f>
        <v>0</v>
      </c>
      <c r="AR55" s="63">
        <f>-'Paso 5 Resumen Desglose de Inve'!$D$50 * IF(COLUMN()=4, $C$19, IF(COLUMN()=5, $D$19, IF(COLUMN()=6, $E$19, 0)))</f>
        <v>0</v>
      </c>
      <c r="AS55" s="63">
        <f>-'Paso 5 Resumen Desglose de Inve'!$D$50 * IF(COLUMN()=4, $C$19, IF(COLUMN()=5, $D$19, IF(COLUMN()=6, $E$19, 0)))</f>
        <v>0</v>
      </c>
      <c r="AT55" s="63">
        <f>-'Paso 5 Resumen Desglose de Inve'!$D$50 * IF(COLUMN()=4, $C$19, IF(COLUMN()=5, $D$19, IF(COLUMN()=6, $E$19, 0)))</f>
        <v>0</v>
      </c>
      <c r="AU55" s="63">
        <f>-'Paso 5 Resumen Desglose de Inve'!$D$50 * IF(COLUMN()=4, $C$19, IF(COLUMN()=5, $D$19, IF(COLUMN()=6, $E$19, 0)))</f>
        <v>0</v>
      </c>
      <c r="AV55" s="63">
        <f>-'Paso 5 Resumen Desglose de Inve'!$D$50 * IF(COLUMN()=4, $C$19, IF(COLUMN()=5, $D$19, IF(COLUMN()=6, $E$19, 0)))</f>
        <v>0</v>
      </c>
      <c r="AW55" s="63">
        <f>-'Paso 5 Resumen Desglose de Inve'!$D$50 * IF(COLUMN()=4, $C$19, IF(COLUMN()=5, $D$19, IF(COLUMN()=6, $E$19, 0)))</f>
        <v>0</v>
      </c>
      <c r="AX55" s="63">
        <f>-'Paso 5 Resumen Desglose de Inve'!$D$50 * IF(COLUMN()=4, $C$19, IF(COLUMN()=5, $D$19, IF(COLUMN()=6, $E$19, 0)))</f>
        <v>0</v>
      </c>
      <c r="AY55" s="63">
        <f>-'Paso 5 Resumen Desglose de Inve'!$D$50 * IF(COLUMN()=4, $C$19, IF(COLUMN()=5, $D$19, IF(COLUMN()=6, $E$19, 0)))</f>
        <v>0</v>
      </c>
      <c r="AZ55" s="63">
        <f>-'Paso 5 Resumen Desglose de Inve'!$D$50 * IF(COLUMN()=4, $C$19, IF(COLUMN()=5, $D$19, IF(COLUMN()=6, $E$19, 0)))</f>
        <v>0</v>
      </c>
      <c r="BA55" s="63">
        <f>-'Paso 5 Resumen Desglose de Inve'!$D$50 * IF(COLUMN()=4, $C$19, IF(COLUMN()=5, $D$19, IF(COLUMN()=6, $E$19, 0)))</f>
        <v>0</v>
      </c>
      <c r="BB55" s="63">
        <f>-'Paso 5 Resumen Desglose de Inve'!$D$50 * IF(COLUMN()=4, $C$19, IF(COLUMN()=5, $D$19, IF(COLUMN()=6, $E$19, 0)))</f>
        <v>0</v>
      </c>
      <c r="BC55" s="63">
        <f>-'Paso 5 Resumen Desglose de Inve'!$D$50 * IF(COLUMN()=4, $C$19, IF(COLUMN()=5, $D$19, IF(COLUMN()=6, $E$19, 0)))</f>
        <v>0</v>
      </c>
      <c r="BD55" s="63">
        <f>-'Paso 5 Resumen Desglose de Inve'!$D$50 * IF(COLUMN()=4, $C$19, IF(COLUMN()=5, $D$19, IF(COLUMN()=6, $E$19, 0)))</f>
        <v>0</v>
      </c>
      <c r="BE55" s="63">
        <f>-'Paso 5 Resumen Desglose de Inve'!$D$50 * IF(COLUMN()=4, $C$19, IF(COLUMN()=5, $D$19, IF(COLUMN()=6, $E$19, 0)))</f>
        <v>0</v>
      </c>
      <c r="BF55" s="63">
        <f>-'Paso 5 Resumen Desglose de Inve'!$D$50 * IF(COLUMN()=4, $C$19, IF(COLUMN()=5, $D$19, IF(COLUMN()=6, $E$19, 0)))</f>
        <v>0</v>
      </c>
      <c r="BG55" s="63">
        <f>-'Paso 5 Resumen Desglose de Inve'!$D$50 * IF(COLUMN()=4, $C$19, IF(COLUMN()=5, $D$19, IF(COLUMN()=6, $E$19, 0)))</f>
        <v>0</v>
      </c>
      <c r="BH55" s="63">
        <f>-'Paso 5 Resumen Desglose de Inve'!$D$50 * IF(COLUMN()=4, $C$19, IF(COLUMN()=5, $D$19, IF(COLUMN()=6, $E$19, 0)))</f>
        <v>0</v>
      </c>
      <c r="BI55" s="63">
        <f>-'Paso 5 Resumen Desglose de Inve'!$D$50 * IF(COLUMN()=4, $C$19, IF(COLUMN()=5, $D$19, IF(COLUMN()=6, $E$19, 0)))</f>
        <v>0</v>
      </c>
      <c r="BJ55" s="63">
        <f>-'Paso 5 Resumen Desglose de Inve'!$D$50 * IF(COLUMN()=4, $C$19, IF(COLUMN()=5, $D$19, IF(COLUMN()=6, $E$19, 0)))</f>
        <v>0</v>
      </c>
      <c r="BK55" s="63">
        <f>-'Paso 5 Resumen Desglose de Inve'!$D$50 * IF(COLUMN()=4, $C$19, IF(COLUMN()=5, $D$19, IF(COLUMN()=6, $E$19, 0)))</f>
        <v>0</v>
      </c>
      <c r="BL55" s="25"/>
      <c r="BM55" s="25"/>
    </row>
    <row r="56">
      <c r="A56" s="36" t="s">
        <v>597</v>
      </c>
      <c r="B56" s="25"/>
      <c r="C56" s="25"/>
      <c r="D56" s="63">
        <f>-'Paso 5 Resumen Desglose de Inve'!$D$59 * IF(COLUMN()=4, $C$19, IF(COLUMN()=5, $D$19, IF(COLUMN()=6, $E$19, 0)))</f>
        <v>-291256.4901</v>
      </c>
      <c r="E56" s="63">
        <f>-'Paso 5 Resumen Desglose de Inve'!$D$59 * IF(COLUMN()=4, $C$19, IF(COLUMN()=5, $D$19, IF(COLUMN()=6, $E$19, 0)))</f>
        <v>-174753.8941</v>
      </c>
      <c r="F56" s="63">
        <f>-'Paso 5 Resumen Desglose de Inve'!$D$59 * IF(COLUMN()=4, $C$19, IF(COLUMN()=5, $D$19, IF(COLUMN()=6, $E$19, 0)))</f>
        <v>-116502.5961</v>
      </c>
      <c r="G56" s="63">
        <f>-'Paso 5 Resumen Desglose de Inve'!$D$59 * IF(COLUMN()=4, $C$19, IF(COLUMN()=5, $D$19, IF(COLUMN()=6, $E$19, 0)))</f>
        <v>0</v>
      </c>
      <c r="H56" s="63">
        <f>-'Paso 5 Resumen Desglose de Inve'!$D$59 * IF(COLUMN()=4, $C$19, IF(COLUMN()=5, $D$19, IF(COLUMN()=6, $E$19, 0)))</f>
        <v>0</v>
      </c>
      <c r="I56" s="63">
        <f>-'Paso 5 Resumen Desglose de Inve'!$D$59 * IF(COLUMN()=4, $C$19, IF(COLUMN()=5, $D$19, IF(COLUMN()=6, $E$19, 0)))</f>
        <v>0</v>
      </c>
      <c r="J56" s="63">
        <f>-'Paso 5 Resumen Desglose de Inve'!$D$59 * IF(COLUMN()=4, $C$19, IF(COLUMN()=5, $D$19, IF(COLUMN()=6, $E$19, 0)))</f>
        <v>0</v>
      </c>
      <c r="K56" s="63">
        <f>-'Paso 5 Resumen Desglose de Inve'!$D$59 * IF(COLUMN()=4, $C$19, IF(COLUMN()=5, $D$19, IF(COLUMN()=6, $E$19, 0)))</f>
        <v>0</v>
      </c>
      <c r="L56" s="63">
        <f>-'Paso 5 Resumen Desglose de Inve'!$D$59 * IF(COLUMN()=4, $C$19, IF(COLUMN()=5, $D$19, IF(COLUMN()=6, $E$19, 0)))</f>
        <v>0</v>
      </c>
      <c r="M56" s="63">
        <f>-'Paso 5 Resumen Desglose de Inve'!$D$59 * IF(COLUMN()=4, $C$19, IF(COLUMN()=5, $D$19, IF(COLUMN()=6, $E$19, 0)))</f>
        <v>0</v>
      </c>
      <c r="N56" s="63">
        <f>-'Paso 5 Resumen Desglose de Inve'!$D$59 * IF(COLUMN()=4, $C$19, IF(COLUMN()=5, $D$19, IF(COLUMN()=6, $E$19, 0)))</f>
        <v>0</v>
      </c>
      <c r="O56" s="63">
        <f>-'Paso 5 Resumen Desglose de Inve'!$D$59 * IF(COLUMN()=4, $C$19, IF(COLUMN()=5, $D$19, IF(COLUMN()=6, $E$19, 0)))</f>
        <v>0</v>
      </c>
      <c r="P56" s="63">
        <f>-'Paso 5 Resumen Desglose de Inve'!$D$59 * IF(COLUMN()=4, $C$19, IF(COLUMN()=5, $D$19, IF(COLUMN()=6, $E$19, 0)))</f>
        <v>0</v>
      </c>
      <c r="Q56" s="63">
        <f>-'Paso 5 Resumen Desglose de Inve'!$D$59 * IF(COLUMN()=4, $C$19, IF(COLUMN()=5, $D$19, IF(COLUMN()=6, $E$19, 0)))</f>
        <v>0</v>
      </c>
      <c r="R56" s="63">
        <f>-'Paso 5 Resumen Desglose de Inve'!$D$59 * IF(COLUMN()=4, $C$19, IF(COLUMN()=5, $D$19, IF(COLUMN()=6, $E$19, 0)))</f>
        <v>0</v>
      </c>
      <c r="S56" s="63">
        <f>-'Paso 5 Resumen Desglose de Inve'!$D$59 * IF(COLUMN()=4, $C$19, IF(COLUMN()=5, $D$19, IF(COLUMN()=6, $E$19, 0)))</f>
        <v>0</v>
      </c>
      <c r="T56" s="63">
        <f>-'Paso 5 Resumen Desglose de Inve'!$D$59 * IF(COLUMN()=4, $C$19, IF(COLUMN()=5, $D$19, IF(COLUMN()=6, $E$19, 0)))</f>
        <v>0</v>
      </c>
      <c r="U56" s="63">
        <f>-'Paso 5 Resumen Desglose de Inve'!$D$59 * IF(COLUMN()=4, $C$19, IF(COLUMN()=5, $D$19, IF(COLUMN()=6, $E$19, 0)))</f>
        <v>0</v>
      </c>
      <c r="V56" s="63">
        <f>-'Paso 5 Resumen Desglose de Inve'!$D$59 * IF(COLUMN()=4, $C$19, IF(COLUMN()=5, $D$19, IF(COLUMN()=6, $E$19, 0)))</f>
        <v>0</v>
      </c>
      <c r="W56" s="63">
        <f>-'Paso 5 Resumen Desglose de Inve'!$D$59 * IF(COLUMN()=4, $C$19, IF(COLUMN()=5, $D$19, IF(COLUMN()=6, $E$19, 0)))</f>
        <v>0</v>
      </c>
      <c r="X56" s="63">
        <f>-'Paso 5 Resumen Desglose de Inve'!$D$59 * IF(COLUMN()=4, $C$19, IF(COLUMN()=5, $D$19, IF(COLUMN()=6, $E$19, 0)))</f>
        <v>0</v>
      </c>
      <c r="Y56" s="63">
        <f>-'Paso 5 Resumen Desglose de Inve'!$D$59 * IF(COLUMN()=4, $C$19, IF(COLUMN()=5, $D$19, IF(COLUMN()=6, $E$19, 0)))</f>
        <v>0</v>
      </c>
      <c r="Z56" s="63">
        <f>-'Paso 5 Resumen Desglose de Inve'!$D$59 * IF(COLUMN()=4, $C$19, IF(COLUMN()=5, $D$19, IF(COLUMN()=6, $E$19, 0)))</f>
        <v>0</v>
      </c>
      <c r="AA56" s="63">
        <f>-'Paso 5 Resumen Desglose de Inve'!$D$59 * IF(COLUMN()=4, $C$19, IF(COLUMN()=5, $D$19, IF(COLUMN()=6, $E$19, 0)))</f>
        <v>0</v>
      </c>
      <c r="AB56" s="63">
        <f>-'Paso 5 Resumen Desglose de Inve'!$D$59 * IF(COLUMN()=4, $C$19, IF(COLUMN()=5, $D$19, IF(COLUMN()=6, $E$19, 0)))</f>
        <v>0</v>
      </c>
      <c r="AC56" s="63">
        <f>-'Paso 5 Resumen Desglose de Inve'!$D$59 * IF(COLUMN()=4, $C$19, IF(COLUMN()=5, $D$19, IF(COLUMN()=6, $E$19, 0)))</f>
        <v>0</v>
      </c>
      <c r="AD56" s="63">
        <f>-'Paso 5 Resumen Desglose de Inve'!$D$59 * IF(COLUMN()=4, $C$19, IF(COLUMN()=5, $D$19, IF(COLUMN()=6, $E$19, 0)))</f>
        <v>0</v>
      </c>
      <c r="AE56" s="63">
        <f>-'Paso 5 Resumen Desglose de Inve'!$D$59 * IF(COLUMN()=4, $C$19, IF(COLUMN()=5, $D$19, IF(COLUMN()=6, $E$19, 0)))</f>
        <v>0</v>
      </c>
      <c r="AF56" s="63">
        <f>-'Paso 5 Resumen Desglose de Inve'!$D$59 * IF(COLUMN()=4, $C$19, IF(COLUMN()=5, $D$19, IF(COLUMN()=6, $E$19, 0)))</f>
        <v>0</v>
      </c>
      <c r="AG56" s="63">
        <f>-'Paso 5 Resumen Desglose de Inve'!$D$59 * IF(COLUMN()=4, $C$19, IF(COLUMN()=5, $D$19, IF(COLUMN()=6, $E$19, 0)))</f>
        <v>0</v>
      </c>
      <c r="AH56" s="63">
        <f>-'Paso 5 Resumen Desglose de Inve'!$D$59 * IF(COLUMN()=4, $C$19, IF(COLUMN()=5, $D$19, IF(COLUMN()=6, $E$19, 0)))</f>
        <v>0</v>
      </c>
      <c r="AI56" s="63">
        <f>-'Paso 5 Resumen Desglose de Inve'!$D$59 * IF(COLUMN()=4, $C$19, IF(COLUMN()=5, $D$19, IF(COLUMN()=6, $E$19, 0)))</f>
        <v>0</v>
      </c>
      <c r="AJ56" s="63">
        <f>-'Paso 5 Resumen Desglose de Inve'!$D$59 * IF(COLUMN()=4, $C$19, IF(COLUMN()=5, $D$19, IF(COLUMN()=6, $E$19, 0)))</f>
        <v>0</v>
      </c>
      <c r="AK56" s="63">
        <f>-'Paso 5 Resumen Desglose de Inve'!$D$59 * IF(COLUMN()=4, $C$19, IF(COLUMN()=5, $D$19, IF(COLUMN()=6, $E$19, 0)))</f>
        <v>0</v>
      </c>
      <c r="AL56" s="63">
        <f>-'Paso 5 Resumen Desglose de Inve'!$D$59 * IF(COLUMN()=4, $C$19, IF(COLUMN()=5, $D$19, IF(COLUMN()=6, $E$19, 0)))</f>
        <v>0</v>
      </c>
      <c r="AM56" s="63">
        <f>-'Paso 5 Resumen Desglose de Inve'!$D$59 * IF(COLUMN()=4, $C$19, IF(COLUMN()=5, $D$19, IF(COLUMN()=6, $E$19, 0)))</f>
        <v>0</v>
      </c>
      <c r="AN56" s="63">
        <f>-'Paso 5 Resumen Desglose de Inve'!$D$59 * IF(COLUMN()=4, $C$19, IF(COLUMN()=5, $D$19, IF(COLUMN()=6, $E$19, 0)))</f>
        <v>0</v>
      </c>
      <c r="AO56" s="63">
        <f>-'Paso 5 Resumen Desglose de Inve'!$D$59 * IF(COLUMN()=4, $C$19, IF(COLUMN()=5, $D$19, IF(COLUMN()=6, $E$19, 0)))</f>
        <v>0</v>
      </c>
      <c r="AP56" s="63">
        <f>-'Paso 5 Resumen Desglose de Inve'!$D$59 * IF(COLUMN()=4, $C$19, IF(COLUMN()=5, $D$19, IF(COLUMN()=6, $E$19, 0)))</f>
        <v>0</v>
      </c>
      <c r="AQ56" s="63">
        <f>-'Paso 5 Resumen Desglose de Inve'!$D$59 * IF(COLUMN()=4, $C$19, IF(COLUMN()=5, $D$19, IF(COLUMN()=6, $E$19, 0)))</f>
        <v>0</v>
      </c>
      <c r="AR56" s="63">
        <f>-'Paso 5 Resumen Desglose de Inve'!$D$59 * IF(COLUMN()=4, $C$19, IF(COLUMN()=5, $D$19, IF(COLUMN()=6, $E$19, 0)))</f>
        <v>0</v>
      </c>
      <c r="AS56" s="63">
        <f>-'Paso 5 Resumen Desglose de Inve'!$D$59 * IF(COLUMN()=4, $C$19, IF(COLUMN()=5, $D$19, IF(COLUMN()=6, $E$19, 0)))</f>
        <v>0</v>
      </c>
      <c r="AT56" s="63">
        <f>-'Paso 5 Resumen Desglose de Inve'!$D$59 * IF(COLUMN()=4, $C$19, IF(COLUMN()=5, $D$19, IF(COLUMN()=6, $E$19, 0)))</f>
        <v>0</v>
      </c>
      <c r="AU56" s="63">
        <f>-'Paso 5 Resumen Desglose de Inve'!$D$59 * IF(COLUMN()=4, $C$19, IF(COLUMN()=5, $D$19, IF(COLUMN()=6, $E$19, 0)))</f>
        <v>0</v>
      </c>
      <c r="AV56" s="63">
        <f>-'Paso 5 Resumen Desglose de Inve'!$D$59 * IF(COLUMN()=4, $C$19, IF(COLUMN()=5, $D$19, IF(COLUMN()=6, $E$19, 0)))</f>
        <v>0</v>
      </c>
      <c r="AW56" s="63">
        <f>-'Paso 5 Resumen Desglose de Inve'!$D$59 * IF(COLUMN()=4, $C$19, IF(COLUMN()=5, $D$19, IF(COLUMN()=6, $E$19, 0)))</f>
        <v>0</v>
      </c>
      <c r="AX56" s="63">
        <f>-'Paso 5 Resumen Desglose de Inve'!$D$59 * IF(COLUMN()=4, $C$19, IF(COLUMN()=5, $D$19, IF(COLUMN()=6, $E$19, 0)))</f>
        <v>0</v>
      </c>
      <c r="AY56" s="63">
        <f>-'Paso 5 Resumen Desglose de Inve'!$D$59 * IF(COLUMN()=4, $C$19, IF(COLUMN()=5, $D$19, IF(COLUMN()=6, $E$19, 0)))</f>
        <v>0</v>
      </c>
      <c r="AZ56" s="63">
        <f>-'Paso 5 Resumen Desglose de Inve'!$D$59 * IF(COLUMN()=4, $C$19, IF(COLUMN()=5, $D$19, IF(COLUMN()=6, $E$19, 0)))</f>
        <v>0</v>
      </c>
      <c r="BA56" s="63">
        <f>-'Paso 5 Resumen Desglose de Inve'!$D$59 * IF(COLUMN()=4, $C$19, IF(COLUMN()=5, $D$19, IF(COLUMN()=6, $E$19, 0)))</f>
        <v>0</v>
      </c>
      <c r="BB56" s="63">
        <f>-'Paso 5 Resumen Desglose de Inve'!$D$59 * IF(COLUMN()=4, $C$19, IF(COLUMN()=5, $D$19, IF(COLUMN()=6, $E$19, 0)))</f>
        <v>0</v>
      </c>
      <c r="BC56" s="63">
        <f>-'Paso 5 Resumen Desglose de Inve'!$D$59 * IF(COLUMN()=4, $C$19, IF(COLUMN()=5, $D$19, IF(COLUMN()=6, $E$19, 0)))</f>
        <v>0</v>
      </c>
      <c r="BD56" s="63">
        <f>-'Paso 5 Resumen Desglose de Inve'!$D$59 * IF(COLUMN()=4, $C$19, IF(COLUMN()=5, $D$19, IF(COLUMN()=6, $E$19, 0)))</f>
        <v>0</v>
      </c>
      <c r="BE56" s="63">
        <f>-'Paso 5 Resumen Desglose de Inve'!$D$59 * IF(COLUMN()=4, $C$19, IF(COLUMN()=5, $D$19, IF(COLUMN()=6, $E$19, 0)))</f>
        <v>0</v>
      </c>
      <c r="BF56" s="63">
        <f>-'Paso 5 Resumen Desglose de Inve'!$D$59 * IF(COLUMN()=4, $C$19, IF(COLUMN()=5, $D$19, IF(COLUMN()=6, $E$19, 0)))</f>
        <v>0</v>
      </c>
      <c r="BG56" s="63">
        <f>-'Paso 5 Resumen Desglose de Inve'!$D$59 * IF(COLUMN()=4, $C$19, IF(COLUMN()=5, $D$19, IF(COLUMN()=6, $E$19, 0)))</f>
        <v>0</v>
      </c>
      <c r="BH56" s="63">
        <f>-'Paso 5 Resumen Desglose de Inve'!$D$59 * IF(COLUMN()=4, $C$19, IF(COLUMN()=5, $D$19, IF(COLUMN()=6, $E$19, 0)))</f>
        <v>0</v>
      </c>
      <c r="BI56" s="63">
        <f>-'Paso 5 Resumen Desglose de Inve'!$D$59 * IF(COLUMN()=4, $C$19, IF(COLUMN()=5, $D$19, IF(COLUMN()=6, $E$19, 0)))</f>
        <v>0</v>
      </c>
      <c r="BJ56" s="63">
        <f>-'Paso 5 Resumen Desglose de Inve'!$D$59 * IF(COLUMN()=4, $C$19, IF(COLUMN()=5, $D$19, IF(COLUMN()=6, $E$19, 0)))</f>
        <v>0</v>
      </c>
      <c r="BK56" s="63">
        <f>-'Paso 5 Resumen Desglose de Inve'!$D$59 * IF(COLUMN()=4, $C$19, IF(COLUMN()=5, $D$19, IF(COLUMN()=6, $E$19, 0)))</f>
        <v>0</v>
      </c>
      <c r="BL56" s="25"/>
      <c r="BM56" s="25"/>
    </row>
    <row r="57">
      <c r="A57" s="36" t="s">
        <v>599</v>
      </c>
      <c r="B57" s="25"/>
      <c r="C57" s="25"/>
      <c r="D57" s="63">
        <f>-'Paso 5 Resumen Desglose de Inve'!$D$68 * IF(COLUMN()=4, $C$19, IF(COLUMN()=5, $D$19, IF(COLUMN()=6, $E$19, 0)))</f>
        <v>-367190</v>
      </c>
      <c r="E57" s="63">
        <f>-'Paso 5 Resumen Desglose de Inve'!$D$68 * IF(COLUMN()=4, $C$19, IF(COLUMN()=5, $D$19, IF(COLUMN()=6, $E$19, 0)))</f>
        <v>-220314</v>
      </c>
      <c r="F57" s="63">
        <f>-'Paso 5 Resumen Desglose de Inve'!$D$68 * IF(COLUMN()=4, $C$19, IF(COLUMN()=5, $D$19, IF(COLUMN()=6, $E$19, 0)))</f>
        <v>-146876</v>
      </c>
      <c r="G57" s="63">
        <f>-'Paso 5 Resumen Desglose de Inve'!$D$68 * IF(COLUMN()=4, $C$19, IF(COLUMN()=5, $D$19, IF(COLUMN()=6, $E$19, 0)))</f>
        <v>0</v>
      </c>
      <c r="H57" s="63">
        <f>-'Paso 5 Resumen Desglose de Inve'!$D$68 * IF(COLUMN()=4, $C$19, IF(COLUMN()=5, $D$19, IF(COLUMN()=6, $E$19, 0)))</f>
        <v>0</v>
      </c>
      <c r="I57" s="63">
        <f>-'Paso 5 Resumen Desglose de Inve'!$D$68 * IF(COLUMN()=4, $C$19, IF(COLUMN()=5, $D$19, IF(COLUMN()=6, $E$19, 0)))</f>
        <v>0</v>
      </c>
      <c r="J57" s="63">
        <f>-'Paso 5 Resumen Desglose de Inve'!$D$68 * IF(COLUMN()=4, $C$19, IF(COLUMN()=5, $D$19, IF(COLUMN()=6, $E$19, 0)))</f>
        <v>0</v>
      </c>
      <c r="K57" s="63">
        <f>-'Paso 5 Resumen Desglose de Inve'!$D$68 * IF(COLUMN()=4, $C$19, IF(COLUMN()=5, $D$19, IF(COLUMN()=6, $E$19, 0)))</f>
        <v>0</v>
      </c>
      <c r="L57" s="63">
        <f>-'Paso 5 Resumen Desglose de Inve'!$D$68 * IF(COLUMN()=4, $C$19, IF(COLUMN()=5, $D$19, IF(COLUMN()=6, $E$19, 0)))</f>
        <v>0</v>
      </c>
      <c r="M57" s="63">
        <f>-'Paso 5 Resumen Desglose de Inve'!$D$68 * IF(COLUMN()=4, $C$19, IF(COLUMN()=5, $D$19, IF(COLUMN()=6, $E$19, 0)))</f>
        <v>0</v>
      </c>
      <c r="N57" s="63">
        <f>-'Paso 5 Resumen Desglose de Inve'!$D$68 * IF(COLUMN()=4, $C$19, IF(COLUMN()=5, $D$19, IF(COLUMN()=6, $E$19, 0)))</f>
        <v>0</v>
      </c>
      <c r="O57" s="63">
        <f>-'Paso 5 Resumen Desglose de Inve'!$D$68 * IF(COLUMN()=4, $C$19, IF(COLUMN()=5, $D$19, IF(COLUMN()=6, $E$19, 0)))</f>
        <v>0</v>
      </c>
      <c r="P57" s="63">
        <f>-'Paso 5 Resumen Desglose de Inve'!$D$68 * IF(COLUMN()=4, $C$19, IF(COLUMN()=5, $D$19, IF(COLUMN()=6, $E$19, 0)))</f>
        <v>0</v>
      </c>
      <c r="Q57" s="63">
        <f>-'Paso 5 Resumen Desglose de Inve'!$D$68 * IF(COLUMN()=4, $C$19, IF(COLUMN()=5, $D$19, IF(COLUMN()=6, $E$19, 0)))</f>
        <v>0</v>
      </c>
      <c r="R57" s="63">
        <f>-'Paso 5 Resumen Desglose de Inve'!$D$68 * IF(COLUMN()=4, $C$19, IF(COLUMN()=5, $D$19, IF(COLUMN()=6, $E$19, 0)))</f>
        <v>0</v>
      </c>
      <c r="S57" s="63">
        <f>-'Paso 5 Resumen Desglose de Inve'!$D$68 * IF(COLUMN()=4, $C$19, IF(COLUMN()=5, $D$19, IF(COLUMN()=6, $E$19, 0)))</f>
        <v>0</v>
      </c>
      <c r="T57" s="63">
        <f>-'Paso 5 Resumen Desglose de Inve'!$D$68 * IF(COLUMN()=4, $C$19, IF(COLUMN()=5, $D$19, IF(COLUMN()=6, $E$19, 0)))</f>
        <v>0</v>
      </c>
      <c r="U57" s="63">
        <f>-'Paso 5 Resumen Desglose de Inve'!$D$68 * IF(COLUMN()=4, $C$19, IF(COLUMN()=5, $D$19, IF(COLUMN()=6, $E$19, 0)))</f>
        <v>0</v>
      </c>
      <c r="V57" s="63">
        <f>-'Paso 5 Resumen Desglose de Inve'!$D$68 * IF(COLUMN()=4, $C$19, IF(COLUMN()=5, $D$19, IF(COLUMN()=6, $E$19, 0)))</f>
        <v>0</v>
      </c>
      <c r="W57" s="63">
        <f>-'Paso 5 Resumen Desglose de Inve'!$D$68 * IF(COLUMN()=4, $C$19, IF(COLUMN()=5, $D$19, IF(COLUMN()=6, $E$19, 0)))</f>
        <v>0</v>
      </c>
      <c r="X57" s="63">
        <f>-'Paso 5 Resumen Desglose de Inve'!$D$68 * IF(COLUMN()=4, $C$19, IF(COLUMN()=5, $D$19, IF(COLUMN()=6, $E$19, 0)))</f>
        <v>0</v>
      </c>
      <c r="Y57" s="63">
        <f>-'Paso 5 Resumen Desglose de Inve'!$D$68 * IF(COLUMN()=4, $C$19, IF(COLUMN()=5, $D$19, IF(COLUMN()=6, $E$19, 0)))</f>
        <v>0</v>
      </c>
      <c r="Z57" s="63">
        <f>-'Paso 5 Resumen Desglose de Inve'!$D$68 * IF(COLUMN()=4, $C$19, IF(COLUMN()=5, $D$19, IF(COLUMN()=6, $E$19, 0)))</f>
        <v>0</v>
      </c>
      <c r="AA57" s="63">
        <f>-'Paso 5 Resumen Desglose de Inve'!$D$68 * IF(COLUMN()=4, $C$19, IF(COLUMN()=5, $D$19, IF(COLUMN()=6, $E$19, 0)))</f>
        <v>0</v>
      </c>
      <c r="AB57" s="63">
        <f>-'Paso 5 Resumen Desglose de Inve'!$D$68 * IF(COLUMN()=4, $C$19, IF(COLUMN()=5, $D$19, IF(COLUMN()=6, $E$19, 0)))</f>
        <v>0</v>
      </c>
      <c r="AC57" s="63">
        <f>-'Paso 5 Resumen Desglose de Inve'!$D$68 * IF(COLUMN()=4, $C$19, IF(COLUMN()=5, $D$19, IF(COLUMN()=6, $E$19, 0)))</f>
        <v>0</v>
      </c>
      <c r="AD57" s="63">
        <f>-'Paso 5 Resumen Desglose de Inve'!$D$68 * IF(COLUMN()=4, $C$19, IF(COLUMN()=5, $D$19, IF(COLUMN()=6, $E$19, 0)))</f>
        <v>0</v>
      </c>
      <c r="AE57" s="63">
        <f>-'Paso 5 Resumen Desglose de Inve'!$D$68 * IF(COLUMN()=4, $C$19, IF(COLUMN()=5, $D$19, IF(COLUMN()=6, $E$19, 0)))</f>
        <v>0</v>
      </c>
      <c r="AF57" s="63">
        <f>-'Paso 5 Resumen Desglose de Inve'!$D$68 * IF(COLUMN()=4, $C$19, IF(COLUMN()=5, $D$19, IF(COLUMN()=6, $E$19, 0)))</f>
        <v>0</v>
      </c>
      <c r="AG57" s="63">
        <f>-'Paso 5 Resumen Desglose de Inve'!$D$68 * IF(COLUMN()=4, $C$19, IF(COLUMN()=5, $D$19, IF(COLUMN()=6, $E$19, 0)))</f>
        <v>0</v>
      </c>
      <c r="AH57" s="63">
        <f>-'Paso 5 Resumen Desglose de Inve'!$D$68 * IF(COLUMN()=4, $C$19, IF(COLUMN()=5, $D$19, IF(COLUMN()=6, $E$19, 0)))</f>
        <v>0</v>
      </c>
      <c r="AI57" s="63">
        <f>-'Paso 5 Resumen Desglose de Inve'!$D$68 * IF(COLUMN()=4, $C$19, IF(COLUMN()=5, $D$19, IF(COLUMN()=6, $E$19, 0)))</f>
        <v>0</v>
      </c>
      <c r="AJ57" s="63">
        <f>-'Paso 5 Resumen Desglose de Inve'!$D$68 * IF(COLUMN()=4, $C$19, IF(COLUMN()=5, $D$19, IF(COLUMN()=6, $E$19, 0)))</f>
        <v>0</v>
      </c>
      <c r="AK57" s="63">
        <f>-'Paso 5 Resumen Desglose de Inve'!$D$68 * IF(COLUMN()=4, $C$19, IF(COLUMN()=5, $D$19, IF(COLUMN()=6, $E$19, 0)))</f>
        <v>0</v>
      </c>
      <c r="AL57" s="63">
        <f>-'Paso 5 Resumen Desglose de Inve'!$D$68 * IF(COLUMN()=4, $C$19, IF(COLUMN()=5, $D$19, IF(COLUMN()=6, $E$19, 0)))</f>
        <v>0</v>
      </c>
      <c r="AM57" s="63">
        <f>-'Paso 5 Resumen Desglose de Inve'!$D$68 * IF(COLUMN()=4, $C$19, IF(COLUMN()=5, $D$19, IF(COLUMN()=6, $E$19, 0)))</f>
        <v>0</v>
      </c>
      <c r="AN57" s="63">
        <f>-'Paso 5 Resumen Desglose de Inve'!$D$68 * IF(COLUMN()=4, $C$19, IF(COLUMN()=5, $D$19, IF(COLUMN()=6, $E$19, 0)))</f>
        <v>0</v>
      </c>
      <c r="AO57" s="63">
        <f>-'Paso 5 Resumen Desglose de Inve'!$D$68 * IF(COLUMN()=4, $C$19, IF(COLUMN()=5, $D$19, IF(COLUMN()=6, $E$19, 0)))</f>
        <v>0</v>
      </c>
      <c r="AP57" s="63">
        <f>-'Paso 5 Resumen Desglose de Inve'!$D$68 * IF(COLUMN()=4, $C$19, IF(COLUMN()=5, $D$19, IF(COLUMN()=6, $E$19, 0)))</f>
        <v>0</v>
      </c>
      <c r="AQ57" s="63">
        <f>-'Paso 5 Resumen Desglose de Inve'!$D$68 * IF(COLUMN()=4, $C$19, IF(COLUMN()=5, $D$19, IF(COLUMN()=6, $E$19, 0)))</f>
        <v>0</v>
      </c>
      <c r="AR57" s="63">
        <f>-'Paso 5 Resumen Desglose de Inve'!$D$68 * IF(COLUMN()=4, $C$19, IF(COLUMN()=5, $D$19, IF(COLUMN()=6, $E$19, 0)))</f>
        <v>0</v>
      </c>
      <c r="AS57" s="63">
        <f>-'Paso 5 Resumen Desglose de Inve'!$D$68 * IF(COLUMN()=4, $C$19, IF(COLUMN()=5, $D$19, IF(COLUMN()=6, $E$19, 0)))</f>
        <v>0</v>
      </c>
      <c r="AT57" s="63">
        <f>-'Paso 5 Resumen Desglose de Inve'!$D$68 * IF(COLUMN()=4, $C$19, IF(COLUMN()=5, $D$19, IF(COLUMN()=6, $E$19, 0)))</f>
        <v>0</v>
      </c>
      <c r="AU57" s="63">
        <f>-'Paso 5 Resumen Desglose de Inve'!$D$68 * IF(COLUMN()=4, $C$19, IF(COLUMN()=5, $D$19, IF(COLUMN()=6, $E$19, 0)))</f>
        <v>0</v>
      </c>
      <c r="AV57" s="63">
        <f>-'Paso 5 Resumen Desglose de Inve'!$D$68 * IF(COLUMN()=4, $C$19, IF(COLUMN()=5, $D$19, IF(COLUMN()=6, $E$19, 0)))</f>
        <v>0</v>
      </c>
      <c r="AW57" s="63">
        <f>-'Paso 5 Resumen Desglose de Inve'!$D$68 * IF(COLUMN()=4, $C$19, IF(COLUMN()=5, $D$19, IF(COLUMN()=6, $E$19, 0)))</f>
        <v>0</v>
      </c>
      <c r="AX57" s="63">
        <f>-'Paso 5 Resumen Desglose de Inve'!$D$68 * IF(COLUMN()=4, $C$19, IF(COLUMN()=5, $D$19, IF(COLUMN()=6, $E$19, 0)))</f>
        <v>0</v>
      </c>
      <c r="AY57" s="63">
        <f>-'Paso 5 Resumen Desglose de Inve'!$D$68 * IF(COLUMN()=4, $C$19, IF(COLUMN()=5, $D$19, IF(COLUMN()=6, $E$19, 0)))</f>
        <v>0</v>
      </c>
      <c r="AZ57" s="63">
        <f>-'Paso 5 Resumen Desglose de Inve'!$D$68 * IF(COLUMN()=4, $C$19, IF(COLUMN()=5, $D$19, IF(COLUMN()=6, $E$19, 0)))</f>
        <v>0</v>
      </c>
      <c r="BA57" s="63">
        <f>-'Paso 5 Resumen Desglose de Inve'!$D$68 * IF(COLUMN()=4, $C$19, IF(COLUMN()=5, $D$19, IF(COLUMN()=6, $E$19, 0)))</f>
        <v>0</v>
      </c>
      <c r="BB57" s="63">
        <f>-'Paso 5 Resumen Desglose de Inve'!$D$68 * IF(COLUMN()=4, $C$19, IF(COLUMN()=5, $D$19, IF(COLUMN()=6, $E$19, 0)))</f>
        <v>0</v>
      </c>
      <c r="BC57" s="63">
        <f>-'Paso 5 Resumen Desglose de Inve'!$D$68 * IF(COLUMN()=4, $C$19, IF(COLUMN()=5, $D$19, IF(COLUMN()=6, $E$19, 0)))</f>
        <v>0</v>
      </c>
      <c r="BD57" s="63">
        <f>-'Paso 5 Resumen Desglose de Inve'!$D$68 * IF(COLUMN()=4, $C$19, IF(COLUMN()=5, $D$19, IF(COLUMN()=6, $E$19, 0)))</f>
        <v>0</v>
      </c>
      <c r="BE57" s="63">
        <f>-'Paso 5 Resumen Desglose de Inve'!$D$68 * IF(COLUMN()=4, $C$19, IF(COLUMN()=5, $D$19, IF(COLUMN()=6, $E$19, 0)))</f>
        <v>0</v>
      </c>
      <c r="BF57" s="63">
        <f>-'Paso 5 Resumen Desglose de Inve'!$D$68 * IF(COLUMN()=4, $C$19, IF(COLUMN()=5, $D$19, IF(COLUMN()=6, $E$19, 0)))</f>
        <v>0</v>
      </c>
      <c r="BG57" s="63">
        <f>-'Paso 5 Resumen Desglose de Inve'!$D$68 * IF(COLUMN()=4, $C$19, IF(COLUMN()=5, $D$19, IF(COLUMN()=6, $E$19, 0)))</f>
        <v>0</v>
      </c>
      <c r="BH57" s="63">
        <f>-'Paso 5 Resumen Desglose de Inve'!$D$68 * IF(COLUMN()=4, $C$19, IF(COLUMN()=5, $D$19, IF(COLUMN()=6, $E$19, 0)))</f>
        <v>0</v>
      </c>
      <c r="BI57" s="63">
        <f>-'Paso 5 Resumen Desglose de Inve'!$D$68 * IF(COLUMN()=4, $C$19, IF(COLUMN()=5, $D$19, IF(COLUMN()=6, $E$19, 0)))</f>
        <v>0</v>
      </c>
      <c r="BJ57" s="63">
        <f>-'Paso 5 Resumen Desglose de Inve'!$D$68 * IF(COLUMN()=4, $C$19, IF(COLUMN()=5, $D$19, IF(COLUMN()=6, $E$19, 0)))</f>
        <v>0</v>
      </c>
      <c r="BK57" s="63">
        <f>-'Paso 5 Resumen Desglose de Inve'!$D$68 * IF(COLUMN()=4, $C$19, IF(COLUMN()=5, $D$19, IF(COLUMN()=6, $E$19, 0)))</f>
        <v>0</v>
      </c>
      <c r="BL57" s="25"/>
      <c r="BM57" s="25"/>
    </row>
    <row r="58">
      <c r="A58" s="36" t="s">
        <v>601</v>
      </c>
      <c r="B58" s="25"/>
      <c r="C58" s="25"/>
      <c r="D58" s="63">
        <f t="array" ref="D58">-IFERROR(1*INDEX('Profit &amp; Loss'!$1:$996, MATCH("Ingreso Del Mar*", 'Profit &amp; Loss'!$B:$B, 0), COLUMN()), 0) * 0.02 / 12</f>
        <v>0</v>
      </c>
      <c r="E58" s="63">
        <f t="array" ref="E58">-IFERROR(1*INDEX('Profit &amp; Loss'!$1:$996, MATCH("Ingreso Del Mar*", 'Profit &amp; Loss'!$B:$B, 0), COLUMN()), 0) * 0.02 / 12</f>
        <v>0</v>
      </c>
      <c r="F58" s="63">
        <f t="array" ref="F58">-IFERROR(1*INDEX('Profit &amp; Loss'!$1:$996, MATCH("Ingreso Del Mar*", 'Profit &amp; Loss'!$B:$B, 0), COLUMN()), 0) * 0.02 / 12</f>
        <v>0</v>
      </c>
      <c r="G58" s="63">
        <f t="array" ref="G58">-IFERROR(1*INDEX('Profit &amp; Loss'!$1:$996, MATCH("Ingreso Del Mar*", 'Profit &amp; Loss'!$B:$B, 0), COLUMN()), 0) * 0.02 / 12</f>
        <v>0</v>
      </c>
      <c r="H58" s="63">
        <f t="array" ref="H58">-IFERROR(1*INDEX('Profit &amp; Loss'!$1:$996, MATCH("Ingreso Del Mar*", 'Profit &amp; Loss'!$B:$B, 0), COLUMN()), 0) * 0.02 / 12</f>
        <v>0</v>
      </c>
      <c r="I58" s="63">
        <f t="array" ref="I58">-IFERROR(1*INDEX('Profit &amp; Loss'!$1:$996, MATCH("Ingreso Del Mar*", 'Profit &amp; Loss'!$B:$B, 0), COLUMN()), 0) * 0.02 / 12</f>
        <v>0</v>
      </c>
      <c r="J58" s="63">
        <f t="array" ref="J58">-IFERROR(1*INDEX('Profit &amp; Loss'!$1:$996, MATCH("Ingreso Del Mar*", 'Profit &amp; Loss'!$B:$B, 0), COLUMN()), 0) * 0.02 / 12</f>
        <v>0</v>
      </c>
      <c r="K58" s="63">
        <f t="array" ref="K58">-IFERROR(1*INDEX('Profit &amp; Loss'!$1:$996, MATCH("Ingreso Del Mar*", 'Profit &amp; Loss'!$B:$B, 0), COLUMN()), 0) * 0.02 / 12</f>
        <v>0</v>
      </c>
      <c r="L58" s="63">
        <f t="array" ref="L58">-IFERROR(1*INDEX('Profit &amp; Loss'!$1:$996, MATCH("Ingreso Del Mar*", 'Profit &amp; Loss'!$B:$B, 0), COLUMN()), 0) * 0.02 / 12</f>
        <v>0</v>
      </c>
      <c r="M58" s="63">
        <f t="array" ref="M58">-IFERROR(1*INDEX('Profit &amp; Loss'!$1:$996, MATCH("Ingreso Del Mar*", 'Profit &amp; Loss'!$B:$B, 0), COLUMN()), 0) * 0.02 / 12</f>
        <v>0</v>
      </c>
      <c r="N58" s="63">
        <f t="array" ref="N58">-IFERROR(1*INDEX('Profit &amp; Loss'!$1:$996, MATCH("Ingreso Del Mar*", 'Profit &amp; Loss'!$B:$B, 0), COLUMN()), 0) * 0.02 / 12</f>
        <v>0</v>
      </c>
      <c r="O58" s="63">
        <f t="array" ref="O58">-IFERROR(1*INDEX('Profit &amp; Loss'!$1:$996, MATCH("Ingreso Del Mar*", 'Profit &amp; Loss'!$B:$B, 0), COLUMN()), 0) * 0.02 / 12</f>
        <v>0</v>
      </c>
      <c r="P58" s="63">
        <f t="array" ref="P58">-IFERROR(1*INDEX('Profit &amp; Loss'!$1:$996, MATCH("Ingreso Del Mar*", 'Profit &amp; Loss'!$B:$B, 0), COLUMN()), 0) * 0.02 / 12</f>
        <v>0</v>
      </c>
      <c r="Q58" s="63">
        <f t="array" ref="Q58">-IFERROR(1*INDEX('Profit &amp; Loss'!$1:$996, MATCH("Ingreso Del Mar*", 'Profit &amp; Loss'!$B:$B, 0), COLUMN()), 0) * 0.02 / 12</f>
        <v>0</v>
      </c>
      <c r="R58" s="63">
        <f t="array" ref="R58">-IFERROR(1*INDEX('Profit &amp; Loss'!$1:$996, MATCH("Ingreso Del Mar*", 'Profit &amp; Loss'!$B:$B, 0), COLUMN()), 0) * 0.02 / 12</f>
        <v>0</v>
      </c>
      <c r="S58" s="63">
        <f t="array" ref="S58">-IFERROR(1*INDEX('Profit &amp; Loss'!$1:$996, MATCH("Ingreso Del Mar*", 'Profit &amp; Loss'!$B:$B, 0), COLUMN()), 0) * 0.02 / 12</f>
        <v>0</v>
      </c>
      <c r="T58" s="63">
        <f t="array" ref="T58">-IFERROR(1*INDEX('Profit &amp; Loss'!$1:$996, MATCH("Ingreso Del Mar*", 'Profit &amp; Loss'!$B:$B, 0), COLUMN()), 0) * 0.02 / 12</f>
        <v>0</v>
      </c>
      <c r="U58" s="63">
        <f t="array" ref="U58">-IFERROR(1*INDEX('Profit &amp; Loss'!$1:$996, MATCH("Ingreso Del Mar*", 'Profit &amp; Loss'!$B:$B, 0), COLUMN()), 0) * 0.02 / 12</f>
        <v>0</v>
      </c>
      <c r="V58" s="63">
        <f t="array" ref="V58">-IFERROR(1*INDEX('Profit &amp; Loss'!$1:$996, MATCH("Ingreso Del Mar*", 'Profit &amp; Loss'!$B:$B, 0), COLUMN()), 0) * 0.02 / 12</f>
        <v>0</v>
      </c>
      <c r="W58" s="63">
        <f t="array" ref="W58">-IFERROR(1*INDEX('Profit &amp; Loss'!$1:$996, MATCH("Ingreso Del Mar*", 'Profit &amp; Loss'!$B:$B, 0), COLUMN()), 0) * 0.02 / 12</f>
        <v>0</v>
      </c>
      <c r="X58" s="63">
        <f t="array" ref="X58">-IFERROR(1*INDEX('Profit &amp; Loss'!$1:$996, MATCH("Ingreso Del Mar*", 'Profit &amp; Loss'!$B:$B, 0), COLUMN()), 0) * 0.02 / 12</f>
        <v>0</v>
      </c>
      <c r="Y58" s="63">
        <f t="array" ref="Y58">-IFERROR(1*INDEX('Profit &amp; Loss'!$1:$996, MATCH("Ingreso Del Mar*", 'Profit &amp; Loss'!$B:$B, 0), COLUMN()), 0) * 0.02 / 12</f>
        <v>0</v>
      </c>
      <c r="Z58" s="63">
        <f t="array" ref="Z58">-IFERROR(1*INDEX('Profit &amp; Loss'!$1:$996, MATCH("Ingreso Del Mar*", 'Profit &amp; Loss'!$B:$B, 0), COLUMN()), 0) * 0.02 / 12</f>
        <v>0</v>
      </c>
      <c r="AA58" s="63">
        <f t="array" ref="AA58">-IFERROR(1*INDEX('Profit &amp; Loss'!$1:$996, MATCH("Ingreso Del Mar*", 'Profit &amp; Loss'!$B:$B, 0), COLUMN()), 0) * 0.02 / 12</f>
        <v>0</v>
      </c>
      <c r="AB58" s="63">
        <f t="array" ref="AB58">-IFERROR(1*INDEX('Profit &amp; Loss'!$1:$996, MATCH("Ingreso Del Mar*", 'Profit &amp; Loss'!$B:$B, 0), COLUMN()), 0) * 0.02 / 12</f>
        <v>0</v>
      </c>
      <c r="AC58" s="63">
        <f t="array" ref="AC58">-IFERROR(1*INDEX('Profit &amp; Loss'!$1:$996, MATCH("Ingreso Del Mar*", 'Profit &amp; Loss'!$B:$B, 0), COLUMN()), 0) * 0.02 / 12</f>
        <v>0</v>
      </c>
      <c r="AD58" s="63">
        <f t="array" ref="AD58">-IFERROR(1*INDEX('Profit &amp; Loss'!$1:$996, MATCH("Ingreso Del Mar*", 'Profit &amp; Loss'!$B:$B, 0), COLUMN()), 0) * 0.02 / 12</f>
        <v>0</v>
      </c>
      <c r="AE58" s="63">
        <f t="array" ref="AE58">-IFERROR(1*INDEX('Profit &amp; Loss'!$1:$996, MATCH("Ingreso Del Mar*", 'Profit &amp; Loss'!$B:$B, 0), COLUMN()), 0) * 0.02 / 12</f>
        <v>0</v>
      </c>
      <c r="AF58" s="63">
        <f t="array" ref="AF58">-IFERROR(1*INDEX('Profit &amp; Loss'!$1:$996, MATCH("Ingreso Del Mar*", 'Profit &amp; Loss'!$B:$B, 0), COLUMN()), 0) * 0.02 / 12</f>
        <v>0</v>
      </c>
      <c r="AG58" s="63">
        <f t="array" ref="AG58">-IFERROR(1*INDEX('Profit &amp; Loss'!$1:$996, MATCH("Ingreso Del Mar*", 'Profit &amp; Loss'!$B:$B, 0), COLUMN()), 0) * 0.02 / 12</f>
        <v>0</v>
      </c>
      <c r="AH58" s="63">
        <f t="array" ref="AH58">-IFERROR(1*INDEX('Profit &amp; Loss'!$1:$996, MATCH("Ingreso Del Mar*", 'Profit &amp; Loss'!$B:$B, 0), COLUMN()), 0) * 0.02 / 12</f>
        <v>0</v>
      </c>
      <c r="AI58" s="63">
        <f t="array" ref="AI58">-IFERROR(1*INDEX('Profit &amp; Loss'!$1:$996, MATCH("Ingreso Del Mar*", 'Profit &amp; Loss'!$B:$B, 0), COLUMN()), 0) * 0.02 / 12</f>
        <v>0</v>
      </c>
      <c r="AJ58" s="63">
        <f t="array" ref="AJ58">-IFERROR(1*INDEX('Profit &amp; Loss'!$1:$996, MATCH("Ingreso Del Mar*", 'Profit &amp; Loss'!$B:$B, 0), COLUMN()), 0) * 0.02 / 12</f>
        <v>0</v>
      </c>
      <c r="AK58" s="63">
        <f t="array" ref="AK58">-IFERROR(1*INDEX('Profit &amp; Loss'!$1:$996, MATCH("Ingreso Del Mar*", 'Profit &amp; Loss'!$B:$B, 0), COLUMN()), 0) * 0.02 / 12</f>
        <v>0</v>
      </c>
      <c r="AL58" s="63">
        <f t="array" ref="AL58">-IFERROR(1*INDEX('Profit &amp; Loss'!$1:$996, MATCH("Ingreso Del Mar*", 'Profit &amp; Loss'!$B:$B, 0), COLUMN()), 0) * 0.02 / 12</f>
        <v>0</v>
      </c>
      <c r="AM58" s="63">
        <f t="array" ref="AM58">-IFERROR(1*INDEX('Profit &amp; Loss'!$1:$996, MATCH("Ingreso Del Mar*", 'Profit &amp; Loss'!$B:$B, 0), COLUMN()), 0) * 0.02 / 12</f>
        <v>0</v>
      </c>
      <c r="AN58" s="63">
        <f t="array" ref="AN58">-IFERROR(1*INDEX('Profit &amp; Loss'!$1:$996, MATCH("Ingreso Del Mar*", 'Profit &amp; Loss'!$B:$B, 0), COLUMN()), 0) * 0.02 / 12</f>
        <v>0</v>
      </c>
      <c r="AO58" s="63">
        <f t="array" ref="AO58">-IFERROR(1*INDEX('Profit &amp; Loss'!$1:$996, MATCH("Ingreso Del Mar*", 'Profit &amp; Loss'!$B:$B, 0), COLUMN()), 0) * 0.02 / 12</f>
        <v>0</v>
      </c>
      <c r="AP58" s="63">
        <f t="array" ref="AP58">-IFERROR(1*INDEX('Profit &amp; Loss'!$1:$996, MATCH("Ingreso Del Mar*", 'Profit &amp; Loss'!$B:$B, 0), COLUMN()), 0) * 0.02 / 12</f>
        <v>0</v>
      </c>
      <c r="AQ58" s="63">
        <f t="array" ref="AQ58">-IFERROR(1*INDEX('Profit &amp; Loss'!$1:$996, MATCH("Ingreso Del Mar*", 'Profit &amp; Loss'!$B:$B, 0), COLUMN()), 0) * 0.02 / 12</f>
        <v>0</v>
      </c>
      <c r="AR58" s="63">
        <f t="array" ref="AR58">-IFERROR(1*INDEX('Profit &amp; Loss'!$1:$996, MATCH("Ingreso Del Mar*", 'Profit &amp; Loss'!$B:$B, 0), COLUMN()), 0) * 0.02 / 12</f>
        <v>0</v>
      </c>
      <c r="AS58" s="63">
        <f t="array" ref="AS58">-IFERROR(1*INDEX('Profit &amp; Loss'!$1:$996, MATCH("Ingreso Del Mar*", 'Profit &amp; Loss'!$B:$B, 0), COLUMN()), 0) * 0.02 / 12</f>
        <v>0</v>
      </c>
      <c r="AT58" s="63">
        <f t="array" ref="AT58">-IFERROR(1*INDEX('Profit &amp; Loss'!$1:$996, MATCH("Ingreso Del Mar*", 'Profit &amp; Loss'!$B:$B, 0), COLUMN()), 0) * 0.02 / 12</f>
        <v>0</v>
      </c>
      <c r="AU58" s="63">
        <f t="array" ref="AU58">-IFERROR(1*INDEX('Profit &amp; Loss'!$1:$996, MATCH("Ingreso Del Mar*", 'Profit &amp; Loss'!$B:$B, 0), COLUMN()), 0) * 0.02 / 12</f>
        <v>0</v>
      </c>
      <c r="AV58" s="63">
        <f t="array" ref="AV58">-IFERROR(1*INDEX('Profit &amp; Loss'!$1:$996, MATCH("Ingreso Del Mar*", 'Profit &amp; Loss'!$B:$B, 0), COLUMN()), 0) * 0.02 / 12</f>
        <v>0</v>
      </c>
      <c r="AW58" s="63">
        <f t="array" ref="AW58">-IFERROR(1*INDEX('Profit &amp; Loss'!$1:$996, MATCH("Ingreso Del Mar*", 'Profit &amp; Loss'!$B:$B, 0), COLUMN()), 0) * 0.02 / 12</f>
        <v>0</v>
      </c>
      <c r="AX58" s="63">
        <f t="array" ref="AX58">-IFERROR(1*INDEX('Profit &amp; Loss'!$1:$996, MATCH("Ingreso Del Mar*", 'Profit &amp; Loss'!$B:$B, 0), COLUMN()), 0) * 0.02 / 12</f>
        <v>0</v>
      </c>
      <c r="AY58" s="63">
        <f t="array" ref="AY58">-IFERROR(1*INDEX('Profit &amp; Loss'!$1:$996, MATCH("Ingreso Del Mar*", 'Profit &amp; Loss'!$B:$B, 0), COLUMN()), 0) * 0.02 / 12</f>
        <v>0</v>
      </c>
      <c r="AZ58" s="63">
        <f t="array" ref="AZ58">-IFERROR(1*INDEX('Profit &amp; Loss'!$1:$996, MATCH("Ingreso Del Mar*", 'Profit &amp; Loss'!$B:$B, 0), COLUMN()), 0) * 0.02 / 12</f>
        <v>0</v>
      </c>
      <c r="BA58" s="63">
        <f t="array" ref="BA58">-IFERROR(1*INDEX('Profit &amp; Loss'!$1:$996, MATCH("Ingreso Del Mar*", 'Profit &amp; Loss'!$B:$B, 0), COLUMN()), 0) * 0.02 / 12</f>
        <v>0</v>
      </c>
      <c r="BB58" s="63">
        <f t="array" ref="BB58">-IFERROR(1*INDEX('Profit &amp; Loss'!$1:$996, MATCH("Ingreso Del Mar*", 'Profit &amp; Loss'!$B:$B, 0), COLUMN()), 0) * 0.02 / 12</f>
        <v>0</v>
      </c>
      <c r="BC58" s="63">
        <f t="array" ref="BC58">-IFERROR(1*INDEX('Profit &amp; Loss'!$1:$996, MATCH("Ingreso Del Mar*", 'Profit &amp; Loss'!$B:$B, 0), COLUMN()), 0) * 0.02 / 12</f>
        <v>0</v>
      </c>
      <c r="BD58" s="63">
        <f t="array" ref="BD58">-IFERROR(1*INDEX('Profit &amp; Loss'!$1:$996, MATCH("Ingreso Del Mar*", 'Profit &amp; Loss'!$B:$B, 0), COLUMN()), 0) * 0.02 / 12</f>
        <v>0</v>
      </c>
      <c r="BE58" s="63">
        <f t="array" ref="BE58">-IFERROR(1*INDEX('Profit &amp; Loss'!$1:$996, MATCH("Ingreso Del Mar*", 'Profit &amp; Loss'!$B:$B, 0), COLUMN()), 0) * 0.02 / 12</f>
        <v>0</v>
      </c>
      <c r="BF58" s="63">
        <f t="array" ref="BF58">-IFERROR(1*INDEX('Profit &amp; Loss'!$1:$996, MATCH("Ingreso Del Mar*", 'Profit &amp; Loss'!$B:$B, 0), COLUMN()), 0) * 0.02 / 12</f>
        <v>0</v>
      </c>
      <c r="BG58" s="63">
        <f t="array" ref="BG58">-IFERROR(1*INDEX('Profit &amp; Loss'!$1:$996, MATCH("Ingreso Del Mar*", 'Profit &amp; Loss'!$B:$B, 0), COLUMN()), 0) * 0.02 / 12</f>
        <v>0</v>
      </c>
      <c r="BH58" s="63">
        <f t="array" ref="BH58">-IFERROR(1*INDEX('Profit &amp; Loss'!$1:$996, MATCH("Ingreso Del Mar*", 'Profit &amp; Loss'!$B:$B, 0), COLUMN()), 0) * 0.02 / 12</f>
        <v>0</v>
      </c>
      <c r="BI58" s="63">
        <f t="array" ref="BI58">-IFERROR(1*INDEX('Profit &amp; Loss'!$1:$996, MATCH("Ingreso Del Mar*", 'Profit &amp; Loss'!$B:$B, 0), COLUMN()), 0) * 0.02 / 12</f>
        <v>0</v>
      </c>
      <c r="BJ58" s="63">
        <f t="array" ref="BJ58">-IFERROR(1*INDEX('Profit &amp; Loss'!$1:$996, MATCH("Ingreso Del Mar*", 'Profit &amp; Loss'!$B:$B, 0), COLUMN()), 0) * 0.02 / 12</f>
        <v>0</v>
      </c>
      <c r="BK58" s="63">
        <f t="array" ref="BK58">-IFERROR(1*INDEX('Profit &amp; Loss'!$1:$996, MATCH("Ingreso Del Mar*", 'Profit &amp; Loss'!$B:$B, 0), COLUMN()), 0) * 0.02 / 12</f>
        <v>0</v>
      </c>
      <c r="BL58" s="25"/>
      <c r="BM58" s="25"/>
    </row>
    <row r="59">
      <c r="A59" s="36" t="s">
        <v>604</v>
      </c>
      <c r="B59" s="25"/>
      <c r="C59" s="25"/>
      <c r="D59" s="63">
        <f t="shared" ref="D59:BK59" si="13">SUM(D53:D58)</f>
        <v>-1586684.924</v>
      </c>
      <c r="E59" s="63">
        <f t="shared" si="13"/>
        <v>-952010.9546</v>
      </c>
      <c r="F59" s="63">
        <f t="shared" si="13"/>
        <v>-634673.9697</v>
      </c>
      <c r="G59" s="63">
        <f t="shared" si="13"/>
        <v>0</v>
      </c>
      <c r="H59" s="63">
        <f t="shared" si="13"/>
        <v>0</v>
      </c>
      <c r="I59" s="63">
        <f t="shared" si="13"/>
        <v>0</v>
      </c>
      <c r="J59" s="63">
        <f t="shared" si="13"/>
        <v>0</v>
      </c>
      <c r="K59" s="63">
        <f t="shared" si="13"/>
        <v>0</v>
      </c>
      <c r="L59" s="63">
        <f t="shared" si="13"/>
        <v>0</v>
      </c>
      <c r="M59" s="63">
        <f t="shared" si="13"/>
        <v>0</v>
      </c>
      <c r="N59" s="63">
        <f t="shared" si="13"/>
        <v>0</v>
      </c>
      <c r="O59" s="63">
        <f t="shared" si="13"/>
        <v>0</v>
      </c>
      <c r="P59" s="63">
        <f t="shared" si="13"/>
        <v>0</v>
      </c>
      <c r="Q59" s="63">
        <f t="shared" si="13"/>
        <v>0</v>
      </c>
      <c r="R59" s="63">
        <f t="shared" si="13"/>
        <v>0</v>
      </c>
      <c r="S59" s="63">
        <f t="shared" si="13"/>
        <v>0</v>
      </c>
      <c r="T59" s="63">
        <f t="shared" si="13"/>
        <v>0</v>
      </c>
      <c r="U59" s="63">
        <f t="shared" si="13"/>
        <v>0</v>
      </c>
      <c r="V59" s="63">
        <f t="shared" si="13"/>
        <v>0</v>
      </c>
      <c r="W59" s="63">
        <f t="shared" si="13"/>
        <v>0</v>
      </c>
      <c r="X59" s="63">
        <f t="shared" si="13"/>
        <v>0</v>
      </c>
      <c r="Y59" s="63">
        <f t="shared" si="13"/>
        <v>0</v>
      </c>
      <c r="Z59" s="63">
        <f t="shared" si="13"/>
        <v>0</v>
      </c>
      <c r="AA59" s="63">
        <f t="shared" si="13"/>
        <v>0</v>
      </c>
      <c r="AB59" s="63">
        <f t="shared" si="13"/>
        <v>0</v>
      </c>
      <c r="AC59" s="63">
        <f t="shared" si="13"/>
        <v>0</v>
      </c>
      <c r="AD59" s="63">
        <f t="shared" si="13"/>
        <v>0</v>
      </c>
      <c r="AE59" s="63">
        <f t="shared" si="13"/>
        <v>0</v>
      </c>
      <c r="AF59" s="63">
        <f t="shared" si="13"/>
        <v>0</v>
      </c>
      <c r="AG59" s="63">
        <f t="shared" si="13"/>
        <v>0</v>
      </c>
      <c r="AH59" s="63">
        <f t="shared" si="13"/>
        <v>0</v>
      </c>
      <c r="AI59" s="63">
        <f t="shared" si="13"/>
        <v>0</v>
      </c>
      <c r="AJ59" s="63">
        <f t="shared" si="13"/>
        <v>0</v>
      </c>
      <c r="AK59" s="63">
        <f t="shared" si="13"/>
        <v>0</v>
      </c>
      <c r="AL59" s="63">
        <f t="shared" si="13"/>
        <v>0</v>
      </c>
      <c r="AM59" s="63">
        <f t="shared" si="13"/>
        <v>0</v>
      </c>
      <c r="AN59" s="63">
        <f t="shared" si="13"/>
        <v>0</v>
      </c>
      <c r="AO59" s="63">
        <f t="shared" si="13"/>
        <v>0</v>
      </c>
      <c r="AP59" s="63">
        <f t="shared" si="13"/>
        <v>0</v>
      </c>
      <c r="AQ59" s="63">
        <f t="shared" si="13"/>
        <v>0</v>
      </c>
      <c r="AR59" s="63">
        <f t="shared" si="13"/>
        <v>0</v>
      </c>
      <c r="AS59" s="63">
        <f t="shared" si="13"/>
        <v>0</v>
      </c>
      <c r="AT59" s="63">
        <f t="shared" si="13"/>
        <v>0</v>
      </c>
      <c r="AU59" s="63">
        <f t="shared" si="13"/>
        <v>0</v>
      </c>
      <c r="AV59" s="63">
        <f t="shared" si="13"/>
        <v>0</v>
      </c>
      <c r="AW59" s="63">
        <f t="shared" si="13"/>
        <v>0</v>
      </c>
      <c r="AX59" s="63">
        <f t="shared" si="13"/>
        <v>0</v>
      </c>
      <c r="AY59" s="63">
        <f t="shared" si="13"/>
        <v>0</v>
      </c>
      <c r="AZ59" s="63">
        <f t="shared" si="13"/>
        <v>0</v>
      </c>
      <c r="BA59" s="63">
        <f t="shared" si="13"/>
        <v>0</v>
      </c>
      <c r="BB59" s="63">
        <f t="shared" si="13"/>
        <v>0</v>
      </c>
      <c r="BC59" s="63">
        <f t="shared" si="13"/>
        <v>0</v>
      </c>
      <c r="BD59" s="63">
        <f t="shared" si="13"/>
        <v>0</v>
      </c>
      <c r="BE59" s="63">
        <f t="shared" si="13"/>
        <v>0</v>
      </c>
      <c r="BF59" s="63">
        <f t="shared" si="13"/>
        <v>0</v>
      </c>
      <c r="BG59" s="63">
        <f t="shared" si="13"/>
        <v>0</v>
      </c>
      <c r="BH59" s="63">
        <f t="shared" si="13"/>
        <v>0</v>
      </c>
      <c r="BI59" s="63">
        <f t="shared" si="13"/>
        <v>0</v>
      </c>
      <c r="BJ59" s="63">
        <f t="shared" si="13"/>
        <v>0</v>
      </c>
      <c r="BK59" s="63">
        <f t="shared" si="13"/>
        <v>0</v>
      </c>
      <c r="BL59" s="25"/>
      <c r="BM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</row>
    <row r="61">
      <c r="A61" s="61" t="s">
        <v>605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25"/>
      <c r="BM61" s="25"/>
    </row>
    <row r="62">
      <c r="A62" s="25" t="s">
        <v>606</v>
      </c>
      <c r="B62" s="25"/>
      <c r="C62" s="25"/>
      <c r="D62" s="63">
        <f t="shared" ref="D62:BK62" si="14">N(C66)</f>
        <v>0</v>
      </c>
      <c r="E62" s="63">
        <f t="shared" si="14"/>
        <v>500000</v>
      </c>
      <c r="F62" s="63">
        <f t="shared" si="14"/>
        <v>500000</v>
      </c>
      <c r="G62" s="63">
        <f t="shared" si="14"/>
        <v>500000</v>
      </c>
      <c r="H62" s="63">
        <f t="shared" si="14"/>
        <v>500000</v>
      </c>
      <c r="I62" s="63">
        <f t="shared" si="14"/>
        <v>500000</v>
      </c>
      <c r="J62" s="63">
        <f t="shared" si="14"/>
        <v>500000</v>
      </c>
      <c r="K62" s="63">
        <f t="shared" si="14"/>
        <v>500000</v>
      </c>
      <c r="L62" s="63">
        <f t="shared" si="14"/>
        <v>500000</v>
      </c>
      <c r="M62" s="63">
        <f t="shared" si="14"/>
        <v>500000</v>
      </c>
      <c r="N62" s="63">
        <f t="shared" si="14"/>
        <v>500000</v>
      </c>
      <c r="O62" s="63">
        <f t="shared" si="14"/>
        <v>500000</v>
      </c>
      <c r="P62" s="63">
        <f t="shared" si="14"/>
        <v>500000</v>
      </c>
      <c r="Q62" s="63">
        <f t="shared" si="14"/>
        <v>500000</v>
      </c>
      <c r="R62" s="63">
        <f t="shared" si="14"/>
        <v>500000</v>
      </c>
      <c r="S62" s="63">
        <f t="shared" si="14"/>
        <v>500000</v>
      </c>
      <c r="T62" s="63">
        <f t="shared" si="14"/>
        <v>500000</v>
      </c>
      <c r="U62" s="63">
        <f t="shared" si="14"/>
        <v>500000</v>
      </c>
      <c r="V62" s="63">
        <f t="shared" si="14"/>
        <v>500000</v>
      </c>
      <c r="W62" s="63">
        <f t="shared" si="14"/>
        <v>500000</v>
      </c>
      <c r="X62" s="63">
        <f t="shared" si="14"/>
        <v>500000</v>
      </c>
      <c r="Y62" s="63">
        <f t="shared" si="14"/>
        <v>500000</v>
      </c>
      <c r="Z62" s="63">
        <f t="shared" si="14"/>
        <v>500000</v>
      </c>
      <c r="AA62" s="63">
        <f t="shared" si="14"/>
        <v>293420.1052</v>
      </c>
      <c r="AB62" s="63">
        <f t="shared" si="14"/>
        <v>283690.7924</v>
      </c>
      <c r="AC62" s="63">
        <f t="shared" si="14"/>
        <v>206417.3765</v>
      </c>
      <c r="AD62" s="63">
        <f t="shared" si="14"/>
        <v>79340.48986</v>
      </c>
      <c r="AE62" s="63">
        <f t="shared" si="14"/>
        <v>0</v>
      </c>
      <c r="AF62" s="63">
        <f t="shared" si="14"/>
        <v>0</v>
      </c>
      <c r="AG62" s="63">
        <f t="shared" si="14"/>
        <v>0</v>
      </c>
      <c r="AH62" s="63">
        <f t="shared" si="14"/>
        <v>0</v>
      </c>
      <c r="AI62" s="63">
        <f t="shared" si="14"/>
        <v>0</v>
      </c>
      <c r="AJ62" s="63">
        <f t="shared" si="14"/>
        <v>0</v>
      </c>
      <c r="AK62" s="63">
        <f t="shared" si="14"/>
        <v>0</v>
      </c>
      <c r="AL62" s="63">
        <f t="shared" si="14"/>
        <v>0</v>
      </c>
      <c r="AM62" s="63">
        <f t="shared" si="14"/>
        <v>0</v>
      </c>
      <c r="AN62" s="63">
        <f t="shared" si="14"/>
        <v>0</v>
      </c>
      <c r="AO62" s="63">
        <f t="shared" si="14"/>
        <v>0</v>
      </c>
      <c r="AP62" s="63">
        <f t="shared" si="14"/>
        <v>0</v>
      </c>
      <c r="AQ62" s="63">
        <f t="shared" si="14"/>
        <v>0</v>
      </c>
      <c r="AR62" s="63">
        <f t="shared" si="14"/>
        <v>0</v>
      </c>
      <c r="AS62" s="63">
        <f t="shared" si="14"/>
        <v>0</v>
      </c>
      <c r="AT62" s="63">
        <f t="shared" si="14"/>
        <v>0</v>
      </c>
      <c r="AU62" s="63">
        <f t="shared" si="14"/>
        <v>0</v>
      </c>
      <c r="AV62" s="63">
        <f t="shared" si="14"/>
        <v>0</v>
      </c>
      <c r="AW62" s="63">
        <f t="shared" si="14"/>
        <v>0</v>
      </c>
      <c r="AX62" s="63">
        <f t="shared" si="14"/>
        <v>0</v>
      </c>
      <c r="AY62" s="63">
        <f t="shared" si="14"/>
        <v>0</v>
      </c>
      <c r="AZ62" s="63">
        <f t="shared" si="14"/>
        <v>0</v>
      </c>
      <c r="BA62" s="63">
        <f t="shared" si="14"/>
        <v>0</v>
      </c>
      <c r="BB62" s="63">
        <f t="shared" si="14"/>
        <v>0</v>
      </c>
      <c r="BC62" s="63">
        <f t="shared" si="14"/>
        <v>0</v>
      </c>
      <c r="BD62" s="63">
        <f t="shared" si="14"/>
        <v>0</v>
      </c>
      <c r="BE62" s="63">
        <f t="shared" si="14"/>
        <v>0</v>
      </c>
      <c r="BF62" s="63">
        <f t="shared" si="14"/>
        <v>0</v>
      </c>
      <c r="BG62" s="63">
        <f t="shared" si="14"/>
        <v>0</v>
      </c>
      <c r="BH62" s="63">
        <f t="shared" si="14"/>
        <v>0</v>
      </c>
      <c r="BI62" s="63">
        <f t="shared" si="14"/>
        <v>0</v>
      </c>
      <c r="BJ62" s="63">
        <f t="shared" si="14"/>
        <v>0</v>
      </c>
      <c r="BK62" s="63">
        <f t="shared" si="14"/>
        <v>0</v>
      </c>
      <c r="BL62" s="25"/>
      <c r="BM62" s="25"/>
    </row>
    <row r="63">
      <c r="A63" s="25" t="s">
        <v>607</v>
      </c>
      <c r="B63" s="25"/>
      <c r="C63" s="25"/>
      <c r="D63" s="63">
        <f t="shared" ref="D63:BK63" si="15">MIN($B$13 - D62, MAX(0, $B$15 - D72))</f>
        <v>500000</v>
      </c>
      <c r="E63" s="63">
        <f t="shared" si="15"/>
        <v>0</v>
      </c>
      <c r="F63" s="63">
        <f t="shared" si="15"/>
        <v>0</v>
      </c>
      <c r="G63" s="63">
        <f t="shared" si="15"/>
        <v>0</v>
      </c>
      <c r="H63" s="63">
        <f t="shared" si="15"/>
        <v>0</v>
      </c>
      <c r="I63" s="63">
        <f t="shared" si="15"/>
        <v>0</v>
      </c>
      <c r="J63" s="63">
        <f t="shared" si="15"/>
        <v>0</v>
      </c>
      <c r="K63" s="63">
        <f t="shared" si="15"/>
        <v>0</v>
      </c>
      <c r="L63" s="63">
        <f t="shared" si="15"/>
        <v>0</v>
      </c>
      <c r="M63" s="63">
        <f t="shared" si="15"/>
        <v>0</v>
      </c>
      <c r="N63" s="63">
        <f t="shared" si="15"/>
        <v>0</v>
      </c>
      <c r="O63" s="63">
        <f t="shared" si="15"/>
        <v>0</v>
      </c>
      <c r="P63" s="63">
        <f t="shared" si="15"/>
        <v>0</v>
      </c>
      <c r="Q63" s="63">
        <f t="shared" si="15"/>
        <v>0</v>
      </c>
      <c r="R63" s="63">
        <f t="shared" si="15"/>
        <v>0</v>
      </c>
      <c r="S63" s="63">
        <f t="shared" si="15"/>
        <v>0</v>
      </c>
      <c r="T63" s="63">
        <f t="shared" si="15"/>
        <v>0</v>
      </c>
      <c r="U63" s="63">
        <f t="shared" si="15"/>
        <v>0</v>
      </c>
      <c r="V63" s="63">
        <f t="shared" si="15"/>
        <v>0</v>
      </c>
      <c r="W63" s="63">
        <f t="shared" si="15"/>
        <v>0</v>
      </c>
      <c r="X63" s="63">
        <f t="shared" si="15"/>
        <v>0</v>
      </c>
      <c r="Y63" s="63">
        <f t="shared" si="15"/>
        <v>0</v>
      </c>
      <c r="Z63" s="63">
        <f t="shared" si="15"/>
        <v>0</v>
      </c>
      <c r="AA63" s="63">
        <f t="shared" si="15"/>
        <v>0</v>
      </c>
      <c r="AB63" s="63">
        <f t="shared" si="15"/>
        <v>0</v>
      </c>
      <c r="AC63" s="63">
        <f t="shared" si="15"/>
        <v>0</v>
      </c>
      <c r="AD63" s="63">
        <f t="shared" si="15"/>
        <v>0</v>
      </c>
      <c r="AE63" s="63">
        <f t="shared" si="15"/>
        <v>0</v>
      </c>
      <c r="AF63" s="63">
        <f t="shared" si="15"/>
        <v>0</v>
      </c>
      <c r="AG63" s="63">
        <f t="shared" si="15"/>
        <v>0</v>
      </c>
      <c r="AH63" s="63">
        <f t="shared" si="15"/>
        <v>0</v>
      </c>
      <c r="AI63" s="63">
        <f t="shared" si="15"/>
        <v>0</v>
      </c>
      <c r="AJ63" s="63">
        <f t="shared" si="15"/>
        <v>0</v>
      </c>
      <c r="AK63" s="63">
        <f t="shared" si="15"/>
        <v>0</v>
      </c>
      <c r="AL63" s="63">
        <f t="shared" si="15"/>
        <v>0</v>
      </c>
      <c r="AM63" s="63">
        <f t="shared" si="15"/>
        <v>0</v>
      </c>
      <c r="AN63" s="63">
        <f t="shared" si="15"/>
        <v>0</v>
      </c>
      <c r="AO63" s="63">
        <f t="shared" si="15"/>
        <v>0</v>
      </c>
      <c r="AP63" s="63">
        <f t="shared" si="15"/>
        <v>0</v>
      </c>
      <c r="AQ63" s="63">
        <f t="shared" si="15"/>
        <v>0</v>
      </c>
      <c r="AR63" s="63">
        <f t="shared" si="15"/>
        <v>0</v>
      </c>
      <c r="AS63" s="63">
        <f t="shared" si="15"/>
        <v>0</v>
      </c>
      <c r="AT63" s="63">
        <f t="shared" si="15"/>
        <v>0</v>
      </c>
      <c r="AU63" s="63">
        <f t="shared" si="15"/>
        <v>0</v>
      </c>
      <c r="AV63" s="63">
        <f t="shared" si="15"/>
        <v>0</v>
      </c>
      <c r="AW63" s="63">
        <f t="shared" si="15"/>
        <v>0</v>
      </c>
      <c r="AX63" s="63">
        <f t="shared" si="15"/>
        <v>0</v>
      </c>
      <c r="AY63" s="63">
        <f t="shared" si="15"/>
        <v>0</v>
      </c>
      <c r="AZ63" s="63">
        <f t="shared" si="15"/>
        <v>0</v>
      </c>
      <c r="BA63" s="63">
        <f t="shared" si="15"/>
        <v>0</v>
      </c>
      <c r="BB63" s="63">
        <f t="shared" si="15"/>
        <v>0</v>
      </c>
      <c r="BC63" s="63">
        <f t="shared" si="15"/>
        <v>0</v>
      </c>
      <c r="BD63" s="63">
        <f t="shared" si="15"/>
        <v>0</v>
      </c>
      <c r="BE63" s="63">
        <f t="shared" si="15"/>
        <v>0</v>
      </c>
      <c r="BF63" s="63">
        <f t="shared" si="15"/>
        <v>0</v>
      </c>
      <c r="BG63" s="63">
        <f t="shared" si="15"/>
        <v>0</v>
      </c>
      <c r="BH63" s="63">
        <f t="shared" si="15"/>
        <v>0</v>
      </c>
      <c r="BI63" s="63">
        <f t="shared" si="15"/>
        <v>0</v>
      </c>
      <c r="BJ63" s="63">
        <f t="shared" si="15"/>
        <v>0</v>
      </c>
      <c r="BK63" s="63">
        <f t="shared" si="15"/>
        <v>0</v>
      </c>
      <c r="BL63" s="25"/>
      <c r="BM63" s="25"/>
    </row>
    <row r="64">
      <c r="A64" s="25" t="s">
        <v>608</v>
      </c>
      <c r="B64" s="25"/>
      <c r="C64" s="25"/>
      <c r="D64" s="63">
        <f t="shared" ref="D64:BK64" si="16">D62 * $B$14 / 12</f>
        <v>0</v>
      </c>
      <c r="E64" s="63">
        <f t="shared" si="16"/>
        <v>6250</v>
      </c>
      <c r="F64" s="63">
        <f t="shared" si="16"/>
        <v>6250</v>
      </c>
      <c r="G64" s="63">
        <f t="shared" si="16"/>
        <v>6250</v>
      </c>
      <c r="H64" s="63">
        <f t="shared" si="16"/>
        <v>6250</v>
      </c>
      <c r="I64" s="63">
        <f t="shared" si="16"/>
        <v>6250</v>
      </c>
      <c r="J64" s="63">
        <f t="shared" si="16"/>
        <v>6250</v>
      </c>
      <c r="K64" s="63">
        <f t="shared" si="16"/>
        <v>6250</v>
      </c>
      <c r="L64" s="63">
        <f t="shared" si="16"/>
        <v>6250</v>
      </c>
      <c r="M64" s="63">
        <f t="shared" si="16"/>
        <v>6250</v>
      </c>
      <c r="N64" s="63">
        <f t="shared" si="16"/>
        <v>6250</v>
      </c>
      <c r="O64" s="63">
        <f t="shared" si="16"/>
        <v>6250</v>
      </c>
      <c r="P64" s="63">
        <f t="shared" si="16"/>
        <v>6250</v>
      </c>
      <c r="Q64" s="63">
        <f t="shared" si="16"/>
        <v>6250</v>
      </c>
      <c r="R64" s="63">
        <f t="shared" si="16"/>
        <v>6250</v>
      </c>
      <c r="S64" s="63">
        <f t="shared" si="16"/>
        <v>6250</v>
      </c>
      <c r="T64" s="63">
        <f t="shared" si="16"/>
        <v>6250</v>
      </c>
      <c r="U64" s="63">
        <f t="shared" si="16"/>
        <v>6250</v>
      </c>
      <c r="V64" s="63">
        <f t="shared" si="16"/>
        <v>6250</v>
      </c>
      <c r="W64" s="63">
        <f t="shared" si="16"/>
        <v>6250</v>
      </c>
      <c r="X64" s="63">
        <f t="shared" si="16"/>
        <v>6250</v>
      </c>
      <c r="Y64" s="63">
        <f t="shared" si="16"/>
        <v>6250</v>
      </c>
      <c r="Z64" s="63">
        <f t="shared" si="16"/>
        <v>6250</v>
      </c>
      <c r="AA64" s="63">
        <f t="shared" si="16"/>
        <v>3667.751315</v>
      </c>
      <c r="AB64" s="63">
        <f t="shared" si="16"/>
        <v>3546.134905</v>
      </c>
      <c r="AC64" s="63">
        <f t="shared" si="16"/>
        <v>2580.217206</v>
      </c>
      <c r="AD64" s="63">
        <f t="shared" si="16"/>
        <v>991.7561233</v>
      </c>
      <c r="AE64" s="63">
        <f t="shared" si="16"/>
        <v>0</v>
      </c>
      <c r="AF64" s="63">
        <f t="shared" si="16"/>
        <v>0</v>
      </c>
      <c r="AG64" s="63">
        <f t="shared" si="16"/>
        <v>0</v>
      </c>
      <c r="AH64" s="63">
        <f t="shared" si="16"/>
        <v>0</v>
      </c>
      <c r="AI64" s="63">
        <f t="shared" si="16"/>
        <v>0</v>
      </c>
      <c r="AJ64" s="63">
        <f t="shared" si="16"/>
        <v>0</v>
      </c>
      <c r="AK64" s="63">
        <f t="shared" si="16"/>
        <v>0</v>
      </c>
      <c r="AL64" s="63">
        <f t="shared" si="16"/>
        <v>0</v>
      </c>
      <c r="AM64" s="63">
        <f t="shared" si="16"/>
        <v>0</v>
      </c>
      <c r="AN64" s="63">
        <f t="shared" si="16"/>
        <v>0</v>
      </c>
      <c r="AO64" s="63">
        <f t="shared" si="16"/>
        <v>0</v>
      </c>
      <c r="AP64" s="63">
        <f t="shared" si="16"/>
        <v>0</v>
      </c>
      <c r="AQ64" s="63">
        <f t="shared" si="16"/>
        <v>0</v>
      </c>
      <c r="AR64" s="63">
        <f t="shared" si="16"/>
        <v>0</v>
      </c>
      <c r="AS64" s="63">
        <f t="shared" si="16"/>
        <v>0</v>
      </c>
      <c r="AT64" s="63">
        <f t="shared" si="16"/>
        <v>0</v>
      </c>
      <c r="AU64" s="63">
        <f t="shared" si="16"/>
        <v>0</v>
      </c>
      <c r="AV64" s="63">
        <f t="shared" si="16"/>
        <v>0</v>
      </c>
      <c r="AW64" s="63">
        <f t="shared" si="16"/>
        <v>0</v>
      </c>
      <c r="AX64" s="63">
        <f t="shared" si="16"/>
        <v>0</v>
      </c>
      <c r="AY64" s="63">
        <f t="shared" si="16"/>
        <v>0</v>
      </c>
      <c r="AZ64" s="63">
        <f t="shared" si="16"/>
        <v>0</v>
      </c>
      <c r="BA64" s="63">
        <f t="shared" si="16"/>
        <v>0</v>
      </c>
      <c r="BB64" s="63">
        <f t="shared" si="16"/>
        <v>0</v>
      </c>
      <c r="BC64" s="63">
        <f t="shared" si="16"/>
        <v>0</v>
      </c>
      <c r="BD64" s="63">
        <f t="shared" si="16"/>
        <v>0</v>
      </c>
      <c r="BE64" s="63">
        <f t="shared" si="16"/>
        <v>0</v>
      </c>
      <c r="BF64" s="63">
        <f t="shared" si="16"/>
        <v>0</v>
      </c>
      <c r="BG64" s="63">
        <f t="shared" si="16"/>
        <v>0</v>
      </c>
      <c r="BH64" s="63">
        <f t="shared" si="16"/>
        <v>0</v>
      </c>
      <c r="BI64" s="63">
        <f t="shared" si="16"/>
        <v>0</v>
      </c>
      <c r="BJ64" s="63">
        <f t="shared" si="16"/>
        <v>0</v>
      </c>
      <c r="BK64" s="63">
        <f t="shared" si="16"/>
        <v>0</v>
      </c>
      <c r="BL64" s="25"/>
      <c r="BM64" s="25"/>
    </row>
    <row r="65">
      <c r="A65" s="25" t="s">
        <v>610</v>
      </c>
      <c r="B65" s="25"/>
      <c r="C65" s="25"/>
      <c r="D65" s="63">
        <f t="shared" ref="D65:BK65" si="17">MIN(D62, MAX(0, D72 - $B$15))</f>
        <v>0</v>
      </c>
      <c r="E65" s="63">
        <f t="shared" si="17"/>
        <v>0</v>
      </c>
      <c r="F65" s="63">
        <f t="shared" si="17"/>
        <v>0</v>
      </c>
      <c r="G65" s="63">
        <f t="shared" si="17"/>
        <v>0</v>
      </c>
      <c r="H65" s="63">
        <f t="shared" si="17"/>
        <v>0</v>
      </c>
      <c r="I65" s="63">
        <f t="shared" si="17"/>
        <v>0</v>
      </c>
      <c r="J65" s="63">
        <f t="shared" si="17"/>
        <v>0</v>
      </c>
      <c r="K65" s="63">
        <f t="shared" si="17"/>
        <v>0</v>
      </c>
      <c r="L65" s="63">
        <f t="shared" si="17"/>
        <v>0</v>
      </c>
      <c r="M65" s="63">
        <f t="shared" si="17"/>
        <v>0</v>
      </c>
      <c r="N65" s="63">
        <f t="shared" si="17"/>
        <v>0</v>
      </c>
      <c r="O65" s="63">
        <f t="shared" si="17"/>
        <v>0</v>
      </c>
      <c r="P65" s="63">
        <f t="shared" si="17"/>
        <v>0</v>
      </c>
      <c r="Q65" s="63">
        <f t="shared" si="17"/>
        <v>0</v>
      </c>
      <c r="R65" s="63">
        <f t="shared" si="17"/>
        <v>0</v>
      </c>
      <c r="S65" s="63">
        <f t="shared" si="17"/>
        <v>0</v>
      </c>
      <c r="T65" s="63">
        <f t="shared" si="17"/>
        <v>0</v>
      </c>
      <c r="U65" s="63">
        <f t="shared" si="17"/>
        <v>0</v>
      </c>
      <c r="V65" s="63">
        <f t="shared" si="17"/>
        <v>0</v>
      </c>
      <c r="W65" s="63">
        <f t="shared" si="17"/>
        <v>0</v>
      </c>
      <c r="X65" s="63">
        <f t="shared" si="17"/>
        <v>0</v>
      </c>
      <c r="Y65" s="63">
        <f t="shared" si="17"/>
        <v>0</v>
      </c>
      <c r="Z65" s="63">
        <f t="shared" si="17"/>
        <v>206579.8948</v>
      </c>
      <c r="AA65" s="63">
        <f t="shared" si="17"/>
        <v>9729.312798</v>
      </c>
      <c r="AB65" s="63">
        <f t="shared" si="17"/>
        <v>77273.41588</v>
      </c>
      <c r="AC65" s="63">
        <f t="shared" si="17"/>
        <v>127076.8867</v>
      </c>
      <c r="AD65" s="63">
        <f t="shared" si="17"/>
        <v>79340.48986</v>
      </c>
      <c r="AE65" s="63">
        <f t="shared" si="17"/>
        <v>0</v>
      </c>
      <c r="AF65" s="63">
        <f t="shared" si="17"/>
        <v>0</v>
      </c>
      <c r="AG65" s="63">
        <f t="shared" si="17"/>
        <v>0</v>
      </c>
      <c r="AH65" s="63">
        <f t="shared" si="17"/>
        <v>0</v>
      </c>
      <c r="AI65" s="63">
        <f t="shared" si="17"/>
        <v>0</v>
      </c>
      <c r="AJ65" s="63">
        <f t="shared" si="17"/>
        <v>0</v>
      </c>
      <c r="AK65" s="63">
        <f t="shared" si="17"/>
        <v>0</v>
      </c>
      <c r="AL65" s="63">
        <f t="shared" si="17"/>
        <v>0</v>
      </c>
      <c r="AM65" s="63">
        <f t="shared" si="17"/>
        <v>0</v>
      </c>
      <c r="AN65" s="63">
        <f t="shared" si="17"/>
        <v>0</v>
      </c>
      <c r="AO65" s="63">
        <f t="shared" si="17"/>
        <v>0</v>
      </c>
      <c r="AP65" s="63">
        <f t="shared" si="17"/>
        <v>0</v>
      </c>
      <c r="AQ65" s="63">
        <f t="shared" si="17"/>
        <v>0</v>
      </c>
      <c r="AR65" s="63">
        <f t="shared" si="17"/>
        <v>0</v>
      </c>
      <c r="AS65" s="63">
        <f t="shared" si="17"/>
        <v>0</v>
      </c>
      <c r="AT65" s="63">
        <f t="shared" si="17"/>
        <v>0</v>
      </c>
      <c r="AU65" s="63">
        <f t="shared" si="17"/>
        <v>0</v>
      </c>
      <c r="AV65" s="63">
        <f t="shared" si="17"/>
        <v>0</v>
      </c>
      <c r="AW65" s="63">
        <f t="shared" si="17"/>
        <v>0</v>
      </c>
      <c r="AX65" s="63">
        <f t="shared" si="17"/>
        <v>0</v>
      </c>
      <c r="AY65" s="63">
        <f t="shared" si="17"/>
        <v>0</v>
      </c>
      <c r="AZ65" s="63">
        <f t="shared" si="17"/>
        <v>0</v>
      </c>
      <c r="BA65" s="63">
        <f t="shared" si="17"/>
        <v>0</v>
      </c>
      <c r="BB65" s="63">
        <f t="shared" si="17"/>
        <v>0</v>
      </c>
      <c r="BC65" s="63">
        <f t="shared" si="17"/>
        <v>0</v>
      </c>
      <c r="BD65" s="63">
        <f t="shared" si="17"/>
        <v>0</v>
      </c>
      <c r="BE65" s="63">
        <f t="shared" si="17"/>
        <v>0</v>
      </c>
      <c r="BF65" s="63">
        <f t="shared" si="17"/>
        <v>0</v>
      </c>
      <c r="BG65" s="63">
        <f t="shared" si="17"/>
        <v>0</v>
      </c>
      <c r="BH65" s="63">
        <f t="shared" si="17"/>
        <v>0</v>
      </c>
      <c r="BI65" s="63">
        <f t="shared" si="17"/>
        <v>0</v>
      </c>
      <c r="BJ65" s="63">
        <f t="shared" si="17"/>
        <v>0</v>
      </c>
      <c r="BK65" s="63">
        <f t="shared" si="17"/>
        <v>0</v>
      </c>
      <c r="BL65" s="25"/>
      <c r="BM65" s="25"/>
    </row>
    <row r="66">
      <c r="A66" s="25" t="s">
        <v>611</v>
      </c>
      <c r="B66" s="25"/>
      <c r="C66" s="25"/>
      <c r="D66" s="63">
        <f t="shared" ref="D66:BK66" si="18">D62 + D63 - D65</f>
        <v>500000</v>
      </c>
      <c r="E66" s="63">
        <f t="shared" si="18"/>
        <v>500000</v>
      </c>
      <c r="F66" s="63">
        <f t="shared" si="18"/>
        <v>500000</v>
      </c>
      <c r="G66" s="63">
        <f t="shared" si="18"/>
        <v>500000</v>
      </c>
      <c r="H66" s="63">
        <f t="shared" si="18"/>
        <v>500000</v>
      </c>
      <c r="I66" s="63">
        <f t="shared" si="18"/>
        <v>500000</v>
      </c>
      <c r="J66" s="63">
        <f t="shared" si="18"/>
        <v>500000</v>
      </c>
      <c r="K66" s="63">
        <f t="shared" si="18"/>
        <v>500000</v>
      </c>
      <c r="L66" s="63">
        <f t="shared" si="18"/>
        <v>500000</v>
      </c>
      <c r="M66" s="63">
        <f t="shared" si="18"/>
        <v>500000</v>
      </c>
      <c r="N66" s="63">
        <f t="shared" si="18"/>
        <v>500000</v>
      </c>
      <c r="O66" s="63">
        <f t="shared" si="18"/>
        <v>500000</v>
      </c>
      <c r="P66" s="63">
        <f t="shared" si="18"/>
        <v>500000</v>
      </c>
      <c r="Q66" s="63">
        <f t="shared" si="18"/>
        <v>500000</v>
      </c>
      <c r="R66" s="63">
        <f t="shared" si="18"/>
        <v>500000</v>
      </c>
      <c r="S66" s="63">
        <f t="shared" si="18"/>
        <v>500000</v>
      </c>
      <c r="T66" s="63">
        <f t="shared" si="18"/>
        <v>500000</v>
      </c>
      <c r="U66" s="63">
        <f t="shared" si="18"/>
        <v>500000</v>
      </c>
      <c r="V66" s="63">
        <f t="shared" si="18"/>
        <v>500000</v>
      </c>
      <c r="W66" s="63">
        <f t="shared" si="18"/>
        <v>500000</v>
      </c>
      <c r="X66" s="63">
        <f t="shared" si="18"/>
        <v>500000</v>
      </c>
      <c r="Y66" s="63">
        <f t="shared" si="18"/>
        <v>500000</v>
      </c>
      <c r="Z66" s="63">
        <f t="shared" si="18"/>
        <v>293420.1052</v>
      </c>
      <c r="AA66" s="63">
        <f t="shared" si="18"/>
        <v>283690.7924</v>
      </c>
      <c r="AB66" s="63">
        <f t="shared" si="18"/>
        <v>206417.3765</v>
      </c>
      <c r="AC66" s="63">
        <f t="shared" si="18"/>
        <v>79340.48986</v>
      </c>
      <c r="AD66" s="63">
        <f t="shared" si="18"/>
        <v>0</v>
      </c>
      <c r="AE66" s="63">
        <f t="shared" si="18"/>
        <v>0</v>
      </c>
      <c r="AF66" s="63">
        <f t="shared" si="18"/>
        <v>0</v>
      </c>
      <c r="AG66" s="63">
        <f t="shared" si="18"/>
        <v>0</v>
      </c>
      <c r="AH66" s="63">
        <f t="shared" si="18"/>
        <v>0</v>
      </c>
      <c r="AI66" s="63">
        <f t="shared" si="18"/>
        <v>0</v>
      </c>
      <c r="AJ66" s="63">
        <f t="shared" si="18"/>
        <v>0</v>
      </c>
      <c r="AK66" s="63">
        <f t="shared" si="18"/>
        <v>0</v>
      </c>
      <c r="AL66" s="63">
        <f t="shared" si="18"/>
        <v>0</v>
      </c>
      <c r="AM66" s="63">
        <f t="shared" si="18"/>
        <v>0</v>
      </c>
      <c r="AN66" s="63">
        <f t="shared" si="18"/>
        <v>0</v>
      </c>
      <c r="AO66" s="63">
        <f t="shared" si="18"/>
        <v>0</v>
      </c>
      <c r="AP66" s="63">
        <f t="shared" si="18"/>
        <v>0</v>
      </c>
      <c r="AQ66" s="63">
        <f t="shared" si="18"/>
        <v>0</v>
      </c>
      <c r="AR66" s="63">
        <f t="shared" si="18"/>
        <v>0</v>
      </c>
      <c r="AS66" s="63">
        <f t="shared" si="18"/>
        <v>0</v>
      </c>
      <c r="AT66" s="63">
        <f t="shared" si="18"/>
        <v>0</v>
      </c>
      <c r="AU66" s="63">
        <f t="shared" si="18"/>
        <v>0</v>
      </c>
      <c r="AV66" s="63">
        <f t="shared" si="18"/>
        <v>0</v>
      </c>
      <c r="AW66" s="63">
        <f t="shared" si="18"/>
        <v>0</v>
      </c>
      <c r="AX66" s="63">
        <f t="shared" si="18"/>
        <v>0</v>
      </c>
      <c r="AY66" s="63">
        <f t="shared" si="18"/>
        <v>0</v>
      </c>
      <c r="AZ66" s="63">
        <f t="shared" si="18"/>
        <v>0</v>
      </c>
      <c r="BA66" s="63">
        <f t="shared" si="18"/>
        <v>0</v>
      </c>
      <c r="BB66" s="63">
        <f t="shared" si="18"/>
        <v>0</v>
      </c>
      <c r="BC66" s="63">
        <f t="shared" si="18"/>
        <v>0</v>
      </c>
      <c r="BD66" s="63">
        <f t="shared" si="18"/>
        <v>0</v>
      </c>
      <c r="BE66" s="63">
        <f t="shared" si="18"/>
        <v>0</v>
      </c>
      <c r="BF66" s="63">
        <f t="shared" si="18"/>
        <v>0</v>
      </c>
      <c r="BG66" s="63">
        <f t="shared" si="18"/>
        <v>0</v>
      </c>
      <c r="BH66" s="63">
        <f t="shared" si="18"/>
        <v>0</v>
      </c>
      <c r="BI66" s="63">
        <f t="shared" si="18"/>
        <v>0</v>
      </c>
      <c r="BJ66" s="63">
        <f t="shared" si="18"/>
        <v>0</v>
      </c>
      <c r="BK66" s="63">
        <f t="shared" si="18"/>
        <v>0</v>
      </c>
      <c r="BL66" s="25"/>
      <c r="BM66" s="25"/>
    </row>
    <row r="67">
      <c r="A67" s="25" t="s">
        <v>612</v>
      </c>
      <c r="B67" s="25"/>
      <c r="C67" s="25"/>
      <c r="D67" s="63">
        <f t="shared" ref="D67:BK67" si="19">D63 - D64 - D65</f>
        <v>500000</v>
      </c>
      <c r="E67" s="63">
        <f t="shared" si="19"/>
        <v>-6250</v>
      </c>
      <c r="F67" s="63">
        <f t="shared" si="19"/>
        <v>-6250</v>
      </c>
      <c r="G67" s="63">
        <f t="shared" si="19"/>
        <v>-6250</v>
      </c>
      <c r="H67" s="63">
        <f t="shared" si="19"/>
        <v>-6250</v>
      </c>
      <c r="I67" s="63">
        <f t="shared" si="19"/>
        <v>-6250</v>
      </c>
      <c r="J67" s="63">
        <f t="shared" si="19"/>
        <v>-6250</v>
      </c>
      <c r="K67" s="63">
        <f t="shared" si="19"/>
        <v>-6250</v>
      </c>
      <c r="L67" s="63">
        <f t="shared" si="19"/>
        <v>-6250</v>
      </c>
      <c r="M67" s="63">
        <f t="shared" si="19"/>
        <v>-6250</v>
      </c>
      <c r="N67" s="63">
        <f t="shared" si="19"/>
        <v>-6250</v>
      </c>
      <c r="O67" s="63">
        <f t="shared" si="19"/>
        <v>-6250</v>
      </c>
      <c r="P67" s="63">
        <f t="shared" si="19"/>
        <v>-6250</v>
      </c>
      <c r="Q67" s="63">
        <f t="shared" si="19"/>
        <v>-6250</v>
      </c>
      <c r="R67" s="63">
        <f t="shared" si="19"/>
        <v>-6250</v>
      </c>
      <c r="S67" s="63">
        <f t="shared" si="19"/>
        <v>-6250</v>
      </c>
      <c r="T67" s="63">
        <f t="shared" si="19"/>
        <v>-6250</v>
      </c>
      <c r="U67" s="63">
        <f t="shared" si="19"/>
        <v>-6250</v>
      </c>
      <c r="V67" s="63">
        <f t="shared" si="19"/>
        <v>-6250</v>
      </c>
      <c r="W67" s="63">
        <f t="shared" si="19"/>
        <v>-6250</v>
      </c>
      <c r="X67" s="63">
        <f t="shared" si="19"/>
        <v>-6250</v>
      </c>
      <c r="Y67" s="63">
        <f t="shared" si="19"/>
        <v>-6250</v>
      </c>
      <c r="Z67" s="63">
        <f t="shared" si="19"/>
        <v>-212829.8948</v>
      </c>
      <c r="AA67" s="63">
        <f t="shared" si="19"/>
        <v>-13397.06411</v>
      </c>
      <c r="AB67" s="63">
        <f t="shared" si="19"/>
        <v>-80819.55078</v>
      </c>
      <c r="AC67" s="63">
        <f t="shared" si="19"/>
        <v>-129657.1039</v>
      </c>
      <c r="AD67" s="63">
        <f t="shared" si="19"/>
        <v>-80332.24598</v>
      </c>
      <c r="AE67" s="63">
        <f t="shared" si="19"/>
        <v>0</v>
      </c>
      <c r="AF67" s="63">
        <f t="shared" si="19"/>
        <v>0</v>
      </c>
      <c r="AG67" s="63">
        <f t="shared" si="19"/>
        <v>0</v>
      </c>
      <c r="AH67" s="63">
        <f t="shared" si="19"/>
        <v>0</v>
      </c>
      <c r="AI67" s="63">
        <f t="shared" si="19"/>
        <v>0</v>
      </c>
      <c r="AJ67" s="63">
        <f t="shared" si="19"/>
        <v>0</v>
      </c>
      <c r="AK67" s="63">
        <f t="shared" si="19"/>
        <v>0</v>
      </c>
      <c r="AL67" s="63">
        <f t="shared" si="19"/>
        <v>0</v>
      </c>
      <c r="AM67" s="63">
        <f t="shared" si="19"/>
        <v>0</v>
      </c>
      <c r="AN67" s="63">
        <f t="shared" si="19"/>
        <v>0</v>
      </c>
      <c r="AO67" s="63">
        <f t="shared" si="19"/>
        <v>0</v>
      </c>
      <c r="AP67" s="63">
        <f t="shared" si="19"/>
        <v>0</v>
      </c>
      <c r="AQ67" s="63">
        <f t="shared" si="19"/>
        <v>0</v>
      </c>
      <c r="AR67" s="63">
        <f t="shared" si="19"/>
        <v>0</v>
      </c>
      <c r="AS67" s="63">
        <f t="shared" si="19"/>
        <v>0</v>
      </c>
      <c r="AT67" s="63">
        <f t="shared" si="19"/>
        <v>0</v>
      </c>
      <c r="AU67" s="63">
        <f t="shared" si="19"/>
        <v>0</v>
      </c>
      <c r="AV67" s="63">
        <f t="shared" si="19"/>
        <v>0</v>
      </c>
      <c r="AW67" s="63">
        <f t="shared" si="19"/>
        <v>0</v>
      </c>
      <c r="AX67" s="63">
        <f t="shared" si="19"/>
        <v>0</v>
      </c>
      <c r="AY67" s="63">
        <f t="shared" si="19"/>
        <v>0</v>
      </c>
      <c r="AZ67" s="63">
        <f t="shared" si="19"/>
        <v>0</v>
      </c>
      <c r="BA67" s="63">
        <f t="shared" si="19"/>
        <v>0</v>
      </c>
      <c r="BB67" s="63">
        <f t="shared" si="19"/>
        <v>0</v>
      </c>
      <c r="BC67" s="63">
        <f t="shared" si="19"/>
        <v>0</v>
      </c>
      <c r="BD67" s="63">
        <f t="shared" si="19"/>
        <v>0</v>
      </c>
      <c r="BE67" s="63">
        <f t="shared" si="19"/>
        <v>0</v>
      </c>
      <c r="BF67" s="63">
        <f t="shared" si="19"/>
        <v>0</v>
      </c>
      <c r="BG67" s="63">
        <f t="shared" si="19"/>
        <v>0</v>
      </c>
      <c r="BH67" s="63">
        <f t="shared" si="19"/>
        <v>0</v>
      </c>
      <c r="BI67" s="63">
        <f t="shared" si="19"/>
        <v>0</v>
      </c>
      <c r="BJ67" s="63">
        <f t="shared" si="19"/>
        <v>0</v>
      </c>
      <c r="BK67" s="63">
        <f t="shared" si="19"/>
        <v>0</v>
      </c>
      <c r="BL67" s="25"/>
      <c r="BM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</row>
    <row r="69">
      <c r="A69" s="61" t="s">
        <v>613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25"/>
      <c r="BM69" s="25"/>
    </row>
    <row r="70">
      <c r="A70" s="25" t="s">
        <v>614</v>
      </c>
      <c r="B70" s="25"/>
      <c r="C70" s="25"/>
      <c r="D70" s="63">
        <f t="shared" ref="D70:BK70" si="20">N(C74)</f>
        <v>0</v>
      </c>
      <c r="E70" s="63">
        <f t="shared" si="20"/>
        <v>-112664.2982</v>
      </c>
      <c r="F70" s="63">
        <f t="shared" si="20"/>
        <v>-899091.4891</v>
      </c>
      <c r="G70" s="63">
        <f t="shared" si="20"/>
        <v>-1423566.872</v>
      </c>
      <c r="H70" s="63">
        <f t="shared" si="20"/>
        <v>-1366243.855</v>
      </c>
      <c r="I70" s="63">
        <f t="shared" si="20"/>
        <v>-1247676.61</v>
      </c>
      <c r="J70" s="63">
        <f t="shared" si="20"/>
        <v>-1138576.968</v>
      </c>
      <c r="K70" s="63">
        <f t="shared" si="20"/>
        <v>-987946.0464</v>
      </c>
      <c r="L70" s="63">
        <f t="shared" si="20"/>
        <v>-918286.3032</v>
      </c>
      <c r="M70" s="63">
        <f t="shared" si="20"/>
        <v>-968165.1656</v>
      </c>
      <c r="N70" s="63">
        <f t="shared" si="20"/>
        <v>-881837.8853</v>
      </c>
      <c r="O70" s="63">
        <f t="shared" si="20"/>
        <v>-636371.9832</v>
      </c>
      <c r="P70" s="63">
        <f t="shared" si="20"/>
        <v>-621500.2182</v>
      </c>
      <c r="Q70" s="63">
        <f t="shared" si="20"/>
        <v>-537672.4762</v>
      </c>
      <c r="R70" s="63">
        <f t="shared" si="20"/>
        <v>-403667.8215</v>
      </c>
      <c r="S70" s="63">
        <f t="shared" si="20"/>
        <v>-303433.1246</v>
      </c>
      <c r="T70" s="63">
        <f t="shared" si="20"/>
        <v>-254878.7082</v>
      </c>
      <c r="U70" s="63">
        <f t="shared" si="20"/>
        <v>-146439.9548</v>
      </c>
      <c r="V70" s="63">
        <f t="shared" si="20"/>
        <v>-47245.19403</v>
      </c>
      <c r="W70" s="63">
        <f t="shared" si="20"/>
        <v>92562.40214</v>
      </c>
      <c r="X70" s="63">
        <f t="shared" si="20"/>
        <v>153223.9907</v>
      </c>
      <c r="Y70" s="63">
        <f t="shared" si="20"/>
        <v>97036.37388</v>
      </c>
      <c r="Z70" s="63">
        <f t="shared" si="20"/>
        <v>174015.5564</v>
      </c>
      <c r="AA70" s="63">
        <f t="shared" si="20"/>
        <v>200000</v>
      </c>
      <c r="AB70" s="63">
        <f t="shared" si="20"/>
        <v>200000</v>
      </c>
      <c r="AC70" s="63">
        <f t="shared" si="20"/>
        <v>200000</v>
      </c>
      <c r="AD70" s="63">
        <f t="shared" si="20"/>
        <v>200000</v>
      </c>
      <c r="AE70" s="63">
        <f t="shared" si="20"/>
        <v>216322.7223</v>
      </c>
      <c r="AF70" s="63">
        <f t="shared" si="20"/>
        <v>262465.2716</v>
      </c>
      <c r="AG70" s="63">
        <f t="shared" si="20"/>
        <v>367162.0108</v>
      </c>
      <c r="AH70" s="63">
        <f t="shared" si="20"/>
        <v>462832.6652</v>
      </c>
      <c r="AI70" s="63">
        <f t="shared" si="20"/>
        <v>598217.5737</v>
      </c>
      <c r="AJ70" s="63">
        <f t="shared" si="20"/>
        <v>656240.0762</v>
      </c>
      <c r="AK70" s="63">
        <f t="shared" si="20"/>
        <v>600041.827</v>
      </c>
      <c r="AL70" s="63">
        <f t="shared" si="20"/>
        <v>674038.4145</v>
      </c>
      <c r="AM70" s="63">
        <f t="shared" si="20"/>
        <v>900145.6154</v>
      </c>
      <c r="AN70" s="63">
        <f t="shared" si="20"/>
        <v>905895.7496</v>
      </c>
      <c r="AO70" s="63">
        <f t="shared" si="20"/>
        <v>984556.0401</v>
      </c>
      <c r="AP70" s="63">
        <f t="shared" si="20"/>
        <v>1130414.93</v>
      </c>
      <c r="AQ70" s="63">
        <f t="shared" si="20"/>
        <v>1188294.118</v>
      </c>
      <c r="AR70" s="63">
        <f t="shared" si="20"/>
        <v>1225120.754</v>
      </c>
      <c r="AS70" s="63">
        <f t="shared" si="20"/>
        <v>1319909.83</v>
      </c>
      <c r="AT70" s="63">
        <f t="shared" si="20"/>
        <v>1405886.691</v>
      </c>
      <c r="AU70" s="63">
        <f t="shared" si="20"/>
        <v>1530692.101</v>
      </c>
      <c r="AV70" s="63">
        <f t="shared" si="20"/>
        <v>1579890.928</v>
      </c>
      <c r="AW70" s="63">
        <f t="shared" si="20"/>
        <v>1517456.844</v>
      </c>
      <c r="AX70" s="63">
        <f t="shared" si="20"/>
        <v>1582289.972</v>
      </c>
      <c r="AY70" s="63">
        <f t="shared" si="20"/>
        <v>1795811.157</v>
      </c>
      <c r="AZ70" s="63">
        <f t="shared" si="20"/>
        <v>1793957.998</v>
      </c>
      <c r="BA70" s="63">
        <f t="shared" si="20"/>
        <v>1856549.752</v>
      </c>
      <c r="BB70" s="63">
        <f t="shared" si="20"/>
        <v>1965348.334</v>
      </c>
      <c r="BC70" s="63">
        <f t="shared" si="20"/>
        <v>2042632.564</v>
      </c>
      <c r="BD70" s="63">
        <f t="shared" si="20"/>
        <v>2071668.594</v>
      </c>
      <c r="BE70" s="63">
        <f t="shared" si="20"/>
        <v>2156675.777</v>
      </c>
      <c r="BF70" s="63">
        <f t="shared" si="20"/>
        <v>2233077.718</v>
      </c>
      <c r="BG70" s="63">
        <f t="shared" si="20"/>
        <v>2347448.296</v>
      </c>
      <c r="BH70" s="63">
        <f t="shared" si="20"/>
        <v>2387915.359</v>
      </c>
      <c r="BI70" s="63">
        <f t="shared" si="20"/>
        <v>2319259.833</v>
      </c>
      <c r="BJ70" s="63">
        <f t="shared" si="20"/>
        <v>2375030.428</v>
      </c>
      <c r="BK70" s="63">
        <f t="shared" si="20"/>
        <v>2576167.802</v>
      </c>
      <c r="BL70" s="25"/>
      <c r="BM70" s="25"/>
    </row>
    <row r="71">
      <c r="A71" s="25" t="s">
        <v>616</v>
      </c>
      <c r="B71" s="25"/>
      <c r="C71" s="25"/>
      <c r="D71" s="63">
        <f t="shared" ref="D71:BK71" si="21">D46 + D59</f>
        <v>-612664.2982</v>
      </c>
      <c r="E71" s="63">
        <f t="shared" si="21"/>
        <v>-780177.191</v>
      </c>
      <c r="F71" s="63">
        <f t="shared" si="21"/>
        <v>-518225.3833</v>
      </c>
      <c r="G71" s="63">
        <f t="shared" si="21"/>
        <v>63573.01758</v>
      </c>
      <c r="H71" s="63">
        <f t="shared" si="21"/>
        <v>124817.2443</v>
      </c>
      <c r="I71" s="63">
        <f t="shared" si="21"/>
        <v>115349.6428</v>
      </c>
      <c r="J71" s="63">
        <f t="shared" si="21"/>
        <v>156880.9212</v>
      </c>
      <c r="K71" s="63">
        <f t="shared" si="21"/>
        <v>75909.7433</v>
      </c>
      <c r="L71" s="63">
        <f t="shared" si="21"/>
        <v>-43628.86247</v>
      </c>
      <c r="M71" s="63">
        <f t="shared" si="21"/>
        <v>92577.28029</v>
      </c>
      <c r="N71" s="63">
        <f t="shared" si="21"/>
        <v>251715.9021</v>
      </c>
      <c r="O71" s="63">
        <f t="shared" si="21"/>
        <v>21121.76506</v>
      </c>
      <c r="P71" s="63">
        <f t="shared" si="21"/>
        <v>90077.74196</v>
      </c>
      <c r="Q71" s="63">
        <f t="shared" si="21"/>
        <v>140254.6547</v>
      </c>
      <c r="R71" s="63">
        <f t="shared" si="21"/>
        <v>106484.6969</v>
      </c>
      <c r="S71" s="63">
        <f t="shared" si="21"/>
        <v>54804.41644</v>
      </c>
      <c r="T71" s="63">
        <f t="shared" si="21"/>
        <v>114688.7534</v>
      </c>
      <c r="U71" s="63">
        <f t="shared" si="21"/>
        <v>105444.7607</v>
      </c>
      <c r="V71" s="63">
        <f t="shared" si="21"/>
        <v>146057.5962</v>
      </c>
      <c r="W71" s="63">
        <f t="shared" si="21"/>
        <v>66911.58855</v>
      </c>
      <c r="X71" s="63">
        <f t="shared" si="21"/>
        <v>-49937.61681</v>
      </c>
      <c r="Y71" s="63">
        <f t="shared" si="21"/>
        <v>83229.18249</v>
      </c>
      <c r="Z71" s="63">
        <f t="shared" si="21"/>
        <v>238814.3384</v>
      </c>
      <c r="AA71" s="63">
        <f t="shared" si="21"/>
        <v>13397.06411</v>
      </c>
      <c r="AB71" s="63">
        <f t="shared" si="21"/>
        <v>80819.55078</v>
      </c>
      <c r="AC71" s="63">
        <f t="shared" si="21"/>
        <v>129657.1039</v>
      </c>
      <c r="AD71" s="63">
        <f t="shared" si="21"/>
        <v>96654.96833</v>
      </c>
      <c r="AE71" s="63">
        <f t="shared" si="21"/>
        <v>46142.5493</v>
      </c>
      <c r="AF71" s="63">
        <f t="shared" si="21"/>
        <v>104696.7391</v>
      </c>
      <c r="AG71" s="63">
        <f t="shared" si="21"/>
        <v>95670.65444</v>
      </c>
      <c r="AH71" s="63">
        <f t="shared" si="21"/>
        <v>135384.9085</v>
      </c>
      <c r="AI71" s="63">
        <f t="shared" si="21"/>
        <v>58022.50247</v>
      </c>
      <c r="AJ71" s="63">
        <f t="shared" si="21"/>
        <v>-56198.24919</v>
      </c>
      <c r="AK71" s="63">
        <f t="shared" si="21"/>
        <v>73996.58748</v>
      </c>
      <c r="AL71" s="63">
        <f t="shared" si="21"/>
        <v>226107.2009</v>
      </c>
      <c r="AM71" s="63">
        <f t="shared" si="21"/>
        <v>5750.134272</v>
      </c>
      <c r="AN71" s="63">
        <f t="shared" si="21"/>
        <v>78660.2905</v>
      </c>
      <c r="AO71" s="63">
        <f t="shared" si="21"/>
        <v>145858.8901</v>
      </c>
      <c r="AP71" s="63">
        <f t="shared" si="21"/>
        <v>57879.18734</v>
      </c>
      <c r="AQ71" s="63">
        <f t="shared" si="21"/>
        <v>36826.63666</v>
      </c>
      <c r="AR71" s="63">
        <f t="shared" si="21"/>
        <v>94789.07543</v>
      </c>
      <c r="AS71" s="63">
        <f t="shared" si="21"/>
        <v>85976.861</v>
      </c>
      <c r="AT71" s="63">
        <f t="shared" si="21"/>
        <v>124805.4104</v>
      </c>
      <c r="AU71" s="63">
        <f t="shared" si="21"/>
        <v>49198.82735</v>
      </c>
      <c r="AV71" s="63">
        <f t="shared" si="21"/>
        <v>-62434.08406</v>
      </c>
      <c r="AW71" s="63">
        <f t="shared" si="21"/>
        <v>64833.12716</v>
      </c>
      <c r="AX71" s="63">
        <f t="shared" si="21"/>
        <v>213521.1858</v>
      </c>
      <c r="AY71" s="63">
        <f t="shared" si="21"/>
        <v>-1853.159601</v>
      </c>
      <c r="AZ71" s="63">
        <f t="shared" si="21"/>
        <v>62591.75472</v>
      </c>
      <c r="BA71" s="63">
        <f t="shared" si="21"/>
        <v>108798.5817</v>
      </c>
      <c r="BB71" s="63">
        <f t="shared" si="21"/>
        <v>77284.2299</v>
      </c>
      <c r="BC71" s="63">
        <f t="shared" si="21"/>
        <v>29036.02961</v>
      </c>
      <c r="BD71" s="63">
        <f t="shared" si="21"/>
        <v>85007.18306</v>
      </c>
      <c r="BE71" s="63">
        <f t="shared" si="21"/>
        <v>76401.94107</v>
      </c>
      <c r="BF71" s="63">
        <f t="shared" si="21"/>
        <v>114370.578</v>
      </c>
      <c r="BG71" s="63">
        <f t="shared" si="21"/>
        <v>40467.06276</v>
      </c>
      <c r="BH71" s="63">
        <f t="shared" si="21"/>
        <v>-68655.52565</v>
      </c>
      <c r="BI71" s="63">
        <f t="shared" si="21"/>
        <v>55770.59473</v>
      </c>
      <c r="BJ71" s="63">
        <f t="shared" si="21"/>
        <v>201137.3745</v>
      </c>
      <c r="BK71" s="63">
        <f t="shared" si="21"/>
        <v>-188027.5248</v>
      </c>
      <c r="BL71" s="25"/>
      <c r="BM71" s="25"/>
    </row>
    <row r="72">
      <c r="A72" s="25" t="s">
        <v>617</v>
      </c>
      <c r="B72" s="25"/>
      <c r="C72" s="25"/>
      <c r="D72" s="63">
        <f t="shared" ref="D72:BK72" si="22">D70 + D71 - D64</f>
        <v>-612664.2982</v>
      </c>
      <c r="E72" s="63">
        <f t="shared" si="22"/>
        <v>-899091.4891</v>
      </c>
      <c r="F72" s="63">
        <f t="shared" si="22"/>
        <v>-1423566.872</v>
      </c>
      <c r="G72" s="63">
        <f t="shared" si="22"/>
        <v>-1366243.855</v>
      </c>
      <c r="H72" s="63">
        <f t="shared" si="22"/>
        <v>-1247676.61</v>
      </c>
      <c r="I72" s="63">
        <f t="shared" si="22"/>
        <v>-1138576.968</v>
      </c>
      <c r="J72" s="63">
        <f t="shared" si="22"/>
        <v>-987946.0464</v>
      </c>
      <c r="K72" s="63">
        <f t="shared" si="22"/>
        <v>-918286.3032</v>
      </c>
      <c r="L72" s="63">
        <f t="shared" si="22"/>
        <v>-968165.1656</v>
      </c>
      <c r="M72" s="63">
        <f t="shared" si="22"/>
        <v>-881837.8853</v>
      </c>
      <c r="N72" s="63">
        <f t="shared" si="22"/>
        <v>-636371.9832</v>
      </c>
      <c r="O72" s="63">
        <f t="shared" si="22"/>
        <v>-621500.2182</v>
      </c>
      <c r="P72" s="63">
        <f t="shared" si="22"/>
        <v>-537672.4762</v>
      </c>
      <c r="Q72" s="63">
        <f t="shared" si="22"/>
        <v>-403667.8215</v>
      </c>
      <c r="R72" s="63">
        <f t="shared" si="22"/>
        <v>-303433.1246</v>
      </c>
      <c r="S72" s="63">
        <f t="shared" si="22"/>
        <v>-254878.7082</v>
      </c>
      <c r="T72" s="63">
        <f t="shared" si="22"/>
        <v>-146439.9548</v>
      </c>
      <c r="U72" s="63">
        <f t="shared" si="22"/>
        <v>-47245.19403</v>
      </c>
      <c r="V72" s="63">
        <f t="shared" si="22"/>
        <v>92562.40214</v>
      </c>
      <c r="W72" s="63">
        <f t="shared" si="22"/>
        <v>153223.9907</v>
      </c>
      <c r="X72" s="63">
        <f t="shared" si="22"/>
        <v>97036.37388</v>
      </c>
      <c r="Y72" s="63">
        <f t="shared" si="22"/>
        <v>174015.5564</v>
      </c>
      <c r="Z72" s="63">
        <f t="shared" si="22"/>
        <v>406579.8948</v>
      </c>
      <c r="AA72" s="63">
        <f t="shared" si="22"/>
        <v>209729.3128</v>
      </c>
      <c r="AB72" s="63">
        <f t="shared" si="22"/>
        <v>277273.4159</v>
      </c>
      <c r="AC72" s="63">
        <f t="shared" si="22"/>
        <v>327076.8867</v>
      </c>
      <c r="AD72" s="63">
        <f t="shared" si="22"/>
        <v>295663.2122</v>
      </c>
      <c r="AE72" s="63">
        <f t="shared" si="22"/>
        <v>262465.2716</v>
      </c>
      <c r="AF72" s="63">
        <f t="shared" si="22"/>
        <v>367162.0108</v>
      </c>
      <c r="AG72" s="63">
        <f t="shared" si="22"/>
        <v>462832.6652</v>
      </c>
      <c r="AH72" s="63">
        <f t="shared" si="22"/>
        <v>598217.5737</v>
      </c>
      <c r="AI72" s="63">
        <f t="shared" si="22"/>
        <v>656240.0762</v>
      </c>
      <c r="AJ72" s="63">
        <f t="shared" si="22"/>
        <v>600041.827</v>
      </c>
      <c r="AK72" s="63">
        <f t="shared" si="22"/>
        <v>674038.4145</v>
      </c>
      <c r="AL72" s="63">
        <f t="shared" si="22"/>
        <v>900145.6154</v>
      </c>
      <c r="AM72" s="63">
        <f t="shared" si="22"/>
        <v>905895.7496</v>
      </c>
      <c r="AN72" s="63">
        <f t="shared" si="22"/>
        <v>984556.0401</v>
      </c>
      <c r="AO72" s="63">
        <f t="shared" si="22"/>
        <v>1130414.93</v>
      </c>
      <c r="AP72" s="63">
        <f t="shared" si="22"/>
        <v>1188294.118</v>
      </c>
      <c r="AQ72" s="63">
        <f t="shared" si="22"/>
        <v>1225120.754</v>
      </c>
      <c r="AR72" s="63">
        <f t="shared" si="22"/>
        <v>1319909.83</v>
      </c>
      <c r="AS72" s="63">
        <f t="shared" si="22"/>
        <v>1405886.691</v>
      </c>
      <c r="AT72" s="63">
        <f t="shared" si="22"/>
        <v>1530692.101</v>
      </c>
      <c r="AU72" s="63">
        <f t="shared" si="22"/>
        <v>1579890.928</v>
      </c>
      <c r="AV72" s="63">
        <f t="shared" si="22"/>
        <v>1517456.844</v>
      </c>
      <c r="AW72" s="63">
        <f t="shared" si="22"/>
        <v>1582289.972</v>
      </c>
      <c r="AX72" s="63">
        <f t="shared" si="22"/>
        <v>1795811.157</v>
      </c>
      <c r="AY72" s="63">
        <f t="shared" si="22"/>
        <v>1793957.998</v>
      </c>
      <c r="AZ72" s="63">
        <f t="shared" si="22"/>
        <v>1856549.752</v>
      </c>
      <c r="BA72" s="63">
        <f t="shared" si="22"/>
        <v>1965348.334</v>
      </c>
      <c r="BB72" s="63">
        <f t="shared" si="22"/>
        <v>2042632.564</v>
      </c>
      <c r="BC72" s="63">
        <f t="shared" si="22"/>
        <v>2071668.594</v>
      </c>
      <c r="BD72" s="63">
        <f t="shared" si="22"/>
        <v>2156675.777</v>
      </c>
      <c r="BE72" s="63">
        <f t="shared" si="22"/>
        <v>2233077.718</v>
      </c>
      <c r="BF72" s="63">
        <f t="shared" si="22"/>
        <v>2347448.296</v>
      </c>
      <c r="BG72" s="63">
        <f t="shared" si="22"/>
        <v>2387915.359</v>
      </c>
      <c r="BH72" s="63">
        <f t="shared" si="22"/>
        <v>2319259.833</v>
      </c>
      <c r="BI72" s="63">
        <f t="shared" si="22"/>
        <v>2375030.428</v>
      </c>
      <c r="BJ72" s="63">
        <f t="shared" si="22"/>
        <v>2576167.802</v>
      </c>
      <c r="BK72" s="63">
        <f t="shared" si="22"/>
        <v>2388140.277</v>
      </c>
      <c r="BL72" s="25"/>
      <c r="BM72" s="25"/>
    </row>
    <row r="73">
      <c r="A73" s="25" t="s">
        <v>618</v>
      </c>
      <c r="B73" s="25"/>
      <c r="C73" s="25"/>
      <c r="D73" s="63">
        <f t="shared" ref="D73:BK73" si="23">D67</f>
        <v>500000</v>
      </c>
      <c r="E73" s="63">
        <f t="shared" si="23"/>
        <v>-6250</v>
      </c>
      <c r="F73" s="63">
        <f t="shared" si="23"/>
        <v>-6250</v>
      </c>
      <c r="G73" s="63">
        <f t="shared" si="23"/>
        <v>-6250</v>
      </c>
      <c r="H73" s="63">
        <f t="shared" si="23"/>
        <v>-6250</v>
      </c>
      <c r="I73" s="63">
        <f t="shared" si="23"/>
        <v>-6250</v>
      </c>
      <c r="J73" s="63">
        <f t="shared" si="23"/>
        <v>-6250</v>
      </c>
      <c r="K73" s="63">
        <f t="shared" si="23"/>
        <v>-6250</v>
      </c>
      <c r="L73" s="63">
        <f t="shared" si="23"/>
        <v>-6250</v>
      </c>
      <c r="M73" s="63">
        <f t="shared" si="23"/>
        <v>-6250</v>
      </c>
      <c r="N73" s="63">
        <f t="shared" si="23"/>
        <v>-6250</v>
      </c>
      <c r="O73" s="63">
        <f t="shared" si="23"/>
        <v>-6250</v>
      </c>
      <c r="P73" s="63">
        <f t="shared" si="23"/>
        <v>-6250</v>
      </c>
      <c r="Q73" s="63">
        <f t="shared" si="23"/>
        <v>-6250</v>
      </c>
      <c r="R73" s="63">
        <f t="shared" si="23"/>
        <v>-6250</v>
      </c>
      <c r="S73" s="63">
        <f t="shared" si="23"/>
        <v>-6250</v>
      </c>
      <c r="T73" s="63">
        <f t="shared" si="23"/>
        <v>-6250</v>
      </c>
      <c r="U73" s="63">
        <f t="shared" si="23"/>
        <v>-6250</v>
      </c>
      <c r="V73" s="63">
        <f t="shared" si="23"/>
        <v>-6250</v>
      </c>
      <c r="W73" s="63">
        <f t="shared" si="23"/>
        <v>-6250</v>
      </c>
      <c r="X73" s="63">
        <f t="shared" si="23"/>
        <v>-6250</v>
      </c>
      <c r="Y73" s="63">
        <f t="shared" si="23"/>
        <v>-6250</v>
      </c>
      <c r="Z73" s="63">
        <f t="shared" si="23"/>
        <v>-212829.8948</v>
      </c>
      <c r="AA73" s="63">
        <f t="shared" si="23"/>
        <v>-13397.06411</v>
      </c>
      <c r="AB73" s="63">
        <f t="shared" si="23"/>
        <v>-80819.55078</v>
      </c>
      <c r="AC73" s="63">
        <f t="shared" si="23"/>
        <v>-129657.1039</v>
      </c>
      <c r="AD73" s="63">
        <f t="shared" si="23"/>
        <v>-80332.24598</v>
      </c>
      <c r="AE73" s="63">
        <f t="shared" si="23"/>
        <v>0</v>
      </c>
      <c r="AF73" s="63">
        <f t="shared" si="23"/>
        <v>0</v>
      </c>
      <c r="AG73" s="63">
        <f t="shared" si="23"/>
        <v>0</v>
      </c>
      <c r="AH73" s="63">
        <f t="shared" si="23"/>
        <v>0</v>
      </c>
      <c r="AI73" s="63">
        <f t="shared" si="23"/>
        <v>0</v>
      </c>
      <c r="AJ73" s="63">
        <f t="shared" si="23"/>
        <v>0</v>
      </c>
      <c r="AK73" s="63">
        <f t="shared" si="23"/>
        <v>0</v>
      </c>
      <c r="AL73" s="63">
        <f t="shared" si="23"/>
        <v>0</v>
      </c>
      <c r="AM73" s="63">
        <f t="shared" si="23"/>
        <v>0</v>
      </c>
      <c r="AN73" s="63">
        <f t="shared" si="23"/>
        <v>0</v>
      </c>
      <c r="AO73" s="63">
        <f t="shared" si="23"/>
        <v>0</v>
      </c>
      <c r="AP73" s="63">
        <f t="shared" si="23"/>
        <v>0</v>
      </c>
      <c r="AQ73" s="63">
        <f t="shared" si="23"/>
        <v>0</v>
      </c>
      <c r="AR73" s="63">
        <f t="shared" si="23"/>
        <v>0</v>
      </c>
      <c r="AS73" s="63">
        <f t="shared" si="23"/>
        <v>0</v>
      </c>
      <c r="AT73" s="63">
        <f t="shared" si="23"/>
        <v>0</v>
      </c>
      <c r="AU73" s="63">
        <f t="shared" si="23"/>
        <v>0</v>
      </c>
      <c r="AV73" s="63">
        <f t="shared" si="23"/>
        <v>0</v>
      </c>
      <c r="AW73" s="63">
        <f t="shared" si="23"/>
        <v>0</v>
      </c>
      <c r="AX73" s="63">
        <f t="shared" si="23"/>
        <v>0</v>
      </c>
      <c r="AY73" s="63">
        <f t="shared" si="23"/>
        <v>0</v>
      </c>
      <c r="AZ73" s="63">
        <f t="shared" si="23"/>
        <v>0</v>
      </c>
      <c r="BA73" s="63">
        <f t="shared" si="23"/>
        <v>0</v>
      </c>
      <c r="BB73" s="63">
        <f t="shared" si="23"/>
        <v>0</v>
      </c>
      <c r="BC73" s="63">
        <f t="shared" si="23"/>
        <v>0</v>
      </c>
      <c r="BD73" s="63">
        <f t="shared" si="23"/>
        <v>0</v>
      </c>
      <c r="BE73" s="63">
        <f t="shared" si="23"/>
        <v>0</v>
      </c>
      <c r="BF73" s="63">
        <f t="shared" si="23"/>
        <v>0</v>
      </c>
      <c r="BG73" s="63">
        <f t="shared" si="23"/>
        <v>0</v>
      </c>
      <c r="BH73" s="63">
        <f t="shared" si="23"/>
        <v>0</v>
      </c>
      <c r="BI73" s="63">
        <f t="shared" si="23"/>
        <v>0</v>
      </c>
      <c r="BJ73" s="63">
        <f t="shared" si="23"/>
        <v>0</v>
      </c>
      <c r="BK73" s="63">
        <f t="shared" si="23"/>
        <v>0</v>
      </c>
      <c r="BL73" s="25"/>
      <c r="BM73" s="25"/>
    </row>
    <row r="74">
      <c r="A74" s="25" t="s">
        <v>619</v>
      </c>
      <c r="B74" s="25"/>
      <c r="C74" s="25"/>
      <c r="D74" s="63">
        <f t="shared" ref="D74:BK74" si="24">D70 + D71 + D67</f>
        <v>-112664.2982</v>
      </c>
      <c r="E74" s="63">
        <f t="shared" si="24"/>
        <v>-899091.4891</v>
      </c>
      <c r="F74" s="63">
        <f t="shared" si="24"/>
        <v>-1423566.872</v>
      </c>
      <c r="G74" s="63">
        <f t="shared" si="24"/>
        <v>-1366243.855</v>
      </c>
      <c r="H74" s="63">
        <f t="shared" si="24"/>
        <v>-1247676.61</v>
      </c>
      <c r="I74" s="63">
        <f t="shared" si="24"/>
        <v>-1138576.968</v>
      </c>
      <c r="J74" s="63">
        <f t="shared" si="24"/>
        <v>-987946.0464</v>
      </c>
      <c r="K74" s="63">
        <f t="shared" si="24"/>
        <v>-918286.3032</v>
      </c>
      <c r="L74" s="63">
        <f t="shared" si="24"/>
        <v>-968165.1656</v>
      </c>
      <c r="M74" s="63">
        <f t="shared" si="24"/>
        <v>-881837.8853</v>
      </c>
      <c r="N74" s="63">
        <f t="shared" si="24"/>
        <v>-636371.9832</v>
      </c>
      <c r="O74" s="63">
        <f t="shared" si="24"/>
        <v>-621500.2182</v>
      </c>
      <c r="P74" s="63">
        <f t="shared" si="24"/>
        <v>-537672.4762</v>
      </c>
      <c r="Q74" s="63">
        <f t="shared" si="24"/>
        <v>-403667.8215</v>
      </c>
      <c r="R74" s="63">
        <f t="shared" si="24"/>
        <v>-303433.1246</v>
      </c>
      <c r="S74" s="63">
        <f t="shared" si="24"/>
        <v>-254878.7082</v>
      </c>
      <c r="T74" s="63">
        <f t="shared" si="24"/>
        <v>-146439.9548</v>
      </c>
      <c r="U74" s="63">
        <f t="shared" si="24"/>
        <v>-47245.19403</v>
      </c>
      <c r="V74" s="63">
        <f t="shared" si="24"/>
        <v>92562.40214</v>
      </c>
      <c r="W74" s="63">
        <f t="shared" si="24"/>
        <v>153223.9907</v>
      </c>
      <c r="X74" s="63">
        <f t="shared" si="24"/>
        <v>97036.37388</v>
      </c>
      <c r="Y74" s="63">
        <f t="shared" si="24"/>
        <v>174015.5564</v>
      </c>
      <c r="Z74" s="63">
        <f t="shared" si="24"/>
        <v>200000</v>
      </c>
      <c r="AA74" s="63">
        <f t="shared" si="24"/>
        <v>200000</v>
      </c>
      <c r="AB74" s="63">
        <f t="shared" si="24"/>
        <v>200000</v>
      </c>
      <c r="AC74" s="63">
        <f t="shared" si="24"/>
        <v>200000</v>
      </c>
      <c r="AD74" s="63">
        <f t="shared" si="24"/>
        <v>216322.7223</v>
      </c>
      <c r="AE74" s="63">
        <f t="shared" si="24"/>
        <v>262465.2716</v>
      </c>
      <c r="AF74" s="63">
        <f t="shared" si="24"/>
        <v>367162.0108</v>
      </c>
      <c r="AG74" s="63">
        <f t="shared" si="24"/>
        <v>462832.6652</v>
      </c>
      <c r="AH74" s="63">
        <f t="shared" si="24"/>
        <v>598217.5737</v>
      </c>
      <c r="AI74" s="63">
        <f t="shared" si="24"/>
        <v>656240.0762</v>
      </c>
      <c r="AJ74" s="63">
        <f t="shared" si="24"/>
        <v>600041.827</v>
      </c>
      <c r="AK74" s="63">
        <f t="shared" si="24"/>
        <v>674038.4145</v>
      </c>
      <c r="AL74" s="63">
        <f t="shared" si="24"/>
        <v>900145.6154</v>
      </c>
      <c r="AM74" s="63">
        <f t="shared" si="24"/>
        <v>905895.7496</v>
      </c>
      <c r="AN74" s="63">
        <f t="shared" si="24"/>
        <v>984556.0401</v>
      </c>
      <c r="AO74" s="63">
        <f t="shared" si="24"/>
        <v>1130414.93</v>
      </c>
      <c r="AP74" s="63">
        <f t="shared" si="24"/>
        <v>1188294.118</v>
      </c>
      <c r="AQ74" s="63">
        <f t="shared" si="24"/>
        <v>1225120.754</v>
      </c>
      <c r="AR74" s="63">
        <f t="shared" si="24"/>
        <v>1319909.83</v>
      </c>
      <c r="AS74" s="63">
        <f t="shared" si="24"/>
        <v>1405886.691</v>
      </c>
      <c r="AT74" s="63">
        <f t="shared" si="24"/>
        <v>1530692.101</v>
      </c>
      <c r="AU74" s="63">
        <f t="shared" si="24"/>
        <v>1579890.928</v>
      </c>
      <c r="AV74" s="63">
        <f t="shared" si="24"/>
        <v>1517456.844</v>
      </c>
      <c r="AW74" s="63">
        <f t="shared" si="24"/>
        <v>1582289.972</v>
      </c>
      <c r="AX74" s="63">
        <f t="shared" si="24"/>
        <v>1795811.157</v>
      </c>
      <c r="AY74" s="63">
        <f t="shared" si="24"/>
        <v>1793957.998</v>
      </c>
      <c r="AZ74" s="63">
        <f t="shared" si="24"/>
        <v>1856549.752</v>
      </c>
      <c r="BA74" s="63">
        <f t="shared" si="24"/>
        <v>1965348.334</v>
      </c>
      <c r="BB74" s="63">
        <f t="shared" si="24"/>
        <v>2042632.564</v>
      </c>
      <c r="BC74" s="63">
        <f t="shared" si="24"/>
        <v>2071668.594</v>
      </c>
      <c r="BD74" s="63">
        <f t="shared" si="24"/>
        <v>2156675.777</v>
      </c>
      <c r="BE74" s="63">
        <f t="shared" si="24"/>
        <v>2233077.718</v>
      </c>
      <c r="BF74" s="63">
        <f t="shared" si="24"/>
        <v>2347448.296</v>
      </c>
      <c r="BG74" s="63">
        <f t="shared" si="24"/>
        <v>2387915.359</v>
      </c>
      <c r="BH74" s="63">
        <f t="shared" si="24"/>
        <v>2319259.833</v>
      </c>
      <c r="BI74" s="63">
        <f t="shared" si="24"/>
        <v>2375030.428</v>
      </c>
      <c r="BJ74" s="63">
        <f t="shared" si="24"/>
        <v>2576167.802</v>
      </c>
      <c r="BK74" s="63">
        <f t="shared" si="24"/>
        <v>2388140.277</v>
      </c>
      <c r="BL74" s="25"/>
      <c r="BM74" s="25"/>
    </row>
    <row r="75">
      <c r="A75" s="25" t="s">
        <v>622</v>
      </c>
      <c r="B75" s="25"/>
      <c r="C75" s="25"/>
      <c r="D75" s="63">
        <f t="shared" ref="D75:BK75" si="25">$B$15</f>
        <v>200000</v>
      </c>
      <c r="E75" s="63">
        <f t="shared" si="25"/>
        <v>200000</v>
      </c>
      <c r="F75" s="63">
        <f t="shared" si="25"/>
        <v>200000</v>
      </c>
      <c r="G75" s="63">
        <f t="shared" si="25"/>
        <v>200000</v>
      </c>
      <c r="H75" s="63">
        <f t="shared" si="25"/>
        <v>200000</v>
      </c>
      <c r="I75" s="63">
        <f t="shared" si="25"/>
        <v>200000</v>
      </c>
      <c r="J75" s="63">
        <f t="shared" si="25"/>
        <v>200000</v>
      </c>
      <c r="K75" s="63">
        <f t="shared" si="25"/>
        <v>200000</v>
      </c>
      <c r="L75" s="63">
        <f t="shared" si="25"/>
        <v>200000</v>
      </c>
      <c r="M75" s="63">
        <f t="shared" si="25"/>
        <v>200000</v>
      </c>
      <c r="N75" s="63">
        <f t="shared" si="25"/>
        <v>200000</v>
      </c>
      <c r="O75" s="63">
        <f t="shared" si="25"/>
        <v>200000</v>
      </c>
      <c r="P75" s="63">
        <f t="shared" si="25"/>
        <v>200000</v>
      </c>
      <c r="Q75" s="63">
        <f t="shared" si="25"/>
        <v>200000</v>
      </c>
      <c r="R75" s="63">
        <f t="shared" si="25"/>
        <v>200000</v>
      </c>
      <c r="S75" s="63">
        <f t="shared" si="25"/>
        <v>200000</v>
      </c>
      <c r="T75" s="63">
        <f t="shared" si="25"/>
        <v>200000</v>
      </c>
      <c r="U75" s="63">
        <f t="shared" si="25"/>
        <v>200000</v>
      </c>
      <c r="V75" s="63">
        <f t="shared" si="25"/>
        <v>200000</v>
      </c>
      <c r="W75" s="63">
        <f t="shared" si="25"/>
        <v>200000</v>
      </c>
      <c r="X75" s="63">
        <f t="shared" si="25"/>
        <v>200000</v>
      </c>
      <c r="Y75" s="63">
        <f t="shared" si="25"/>
        <v>200000</v>
      </c>
      <c r="Z75" s="63">
        <f t="shared" si="25"/>
        <v>200000</v>
      </c>
      <c r="AA75" s="63">
        <f t="shared" si="25"/>
        <v>200000</v>
      </c>
      <c r="AB75" s="63">
        <f t="shared" si="25"/>
        <v>200000</v>
      </c>
      <c r="AC75" s="63">
        <f t="shared" si="25"/>
        <v>200000</v>
      </c>
      <c r="AD75" s="63">
        <f t="shared" si="25"/>
        <v>200000</v>
      </c>
      <c r="AE75" s="63">
        <f t="shared" si="25"/>
        <v>200000</v>
      </c>
      <c r="AF75" s="63">
        <f t="shared" si="25"/>
        <v>200000</v>
      </c>
      <c r="AG75" s="63">
        <f t="shared" si="25"/>
        <v>200000</v>
      </c>
      <c r="AH75" s="63">
        <f t="shared" si="25"/>
        <v>200000</v>
      </c>
      <c r="AI75" s="63">
        <f t="shared" si="25"/>
        <v>200000</v>
      </c>
      <c r="AJ75" s="63">
        <f t="shared" si="25"/>
        <v>200000</v>
      </c>
      <c r="AK75" s="63">
        <f t="shared" si="25"/>
        <v>200000</v>
      </c>
      <c r="AL75" s="63">
        <f t="shared" si="25"/>
        <v>200000</v>
      </c>
      <c r="AM75" s="63">
        <f t="shared" si="25"/>
        <v>200000</v>
      </c>
      <c r="AN75" s="63">
        <f t="shared" si="25"/>
        <v>200000</v>
      </c>
      <c r="AO75" s="63">
        <f t="shared" si="25"/>
        <v>200000</v>
      </c>
      <c r="AP75" s="63">
        <f t="shared" si="25"/>
        <v>200000</v>
      </c>
      <c r="AQ75" s="63">
        <f t="shared" si="25"/>
        <v>200000</v>
      </c>
      <c r="AR75" s="63">
        <f t="shared" si="25"/>
        <v>200000</v>
      </c>
      <c r="AS75" s="63">
        <f t="shared" si="25"/>
        <v>200000</v>
      </c>
      <c r="AT75" s="63">
        <f t="shared" si="25"/>
        <v>200000</v>
      </c>
      <c r="AU75" s="63">
        <f t="shared" si="25"/>
        <v>200000</v>
      </c>
      <c r="AV75" s="63">
        <f t="shared" si="25"/>
        <v>200000</v>
      </c>
      <c r="AW75" s="63">
        <f t="shared" si="25"/>
        <v>200000</v>
      </c>
      <c r="AX75" s="63">
        <f t="shared" si="25"/>
        <v>200000</v>
      </c>
      <c r="AY75" s="63">
        <f t="shared" si="25"/>
        <v>200000</v>
      </c>
      <c r="AZ75" s="63">
        <f t="shared" si="25"/>
        <v>200000</v>
      </c>
      <c r="BA75" s="63">
        <f t="shared" si="25"/>
        <v>200000</v>
      </c>
      <c r="BB75" s="63">
        <f t="shared" si="25"/>
        <v>200000</v>
      </c>
      <c r="BC75" s="63">
        <f t="shared" si="25"/>
        <v>200000</v>
      </c>
      <c r="BD75" s="63">
        <f t="shared" si="25"/>
        <v>200000</v>
      </c>
      <c r="BE75" s="63">
        <f t="shared" si="25"/>
        <v>200000</v>
      </c>
      <c r="BF75" s="63">
        <f t="shared" si="25"/>
        <v>200000</v>
      </c>
      <c r="BG75" s="63">
        <f t="shared" si="25"/>
        <v>200000</v>
      </c>
      <c r="BH75" s="63">
        <f t="shared" si="25"/>
        <v>200000</v>
      </c>
      <c r="BI75" s="63">
        <f t="shared" si="25"/>
        <v>200000</v>
      </c>
      <c r="BJ75" s="63">
        <f t="shared" si="25"/>
        <v>200000</v>
      </c>
      <c r="BK75" s="63">
        <f t="shared" si="25"/>
        <v>200000</v>
      </c>
      <c r="BL75" s="25"/>
      <c r="BM75" s="25"/>
    </row>
    <row r="76">
      <c r="A76" s="25" t="s">
        <v>624</v>
      </c>
      <c r="B76" s="202">
        <f>MIN(0, MIN(D72:BK72))</f>
        <v>-1423566.872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</row>
    <row r="77">
      <c r="A77" s="25" t="s">
        <v>625</v>
      </c>
      <c r="B77" s="203">
        <f t="array" ref="B77">IF(B76=0, "-", INDEX(D3:BK3, 1, MATCH(B76, D72:BK72, 0)))</f>
        <v>45717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</row>
    <row r="78">
      <c r="A78" s="25" t="s">
        <v>626</v>
      </c>
      <c r="B78" s="202">
        <f>-B76</f>
        <v>1423566.872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</row>
    <row r="80">
      <c r="A80" s="61" t="s">
        <v>627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25"/>
      <c r="BM80" s="25"/>
    </row>
    <row r="81">
      <c r="A81" s="25" t="s">
        <v>628</v>
      </c>
      <c r="B81" s="25"/>
      <c r="C81" s="25"/>
      <c r="D81" s="63">
        <f t="array" ref="D81">N(C81) + IFERROR(1*INDEX('Profit &amp; Loss'!$1:$996, MATCH("Reparto a Propietarios*", 'Profit &amp; Loss'!$B:$B, 0), COLUMN()), 0)</f>
        <v>662588.4509</v>
      </c>
      <c r="E81" s="63">
        <f t="array" ref="E81">N(D81) + IFERROR(1*INDEX('Profit &amp; Loss'!$1:$996, MATCH("Reparto a Propietarios*", 'Profit &amp; Loss'!$B:$B, 0), COLUMN()), 0)</f>
        <v>1360610.738</v>
      </c>
      <c r="F81" s="63">
        <f t="array" ref="F81">N(E81) + IFERROR(1*INDEX('Profit &amp; Loss'!$1:$996, MATCH("Reparto a Propietarios*", 'Profit &amp; Loss'!$B:$B, 0), COLUMN()), 0)</f>
        <v>2073397.253</v>
      </c>
      <c r="G81" s="63">
        <f t="array" ref="G81">N(F81) + IFERROR(1*INDEX('Profit &amp; Loss'!$1:$996, MATCH("Reparto a Propietarios*", 'Profit &amp; Loss'!$B:$B, 0), COLUMN()), 0)</f>
        <v>2746787.744</v>
      </c>
      <c r="H81" s="63">
        <f t="array" ref="H81">N(G81) + IFERROR(1*INDEX('Profit &amp; Loss'!$1:$996, MATCH("Reparto a Propietarios*", 'Profit &amp; Loss'!$B:$B, 0), COLUMN()), 0)</f>
        <v>3438640.799</v>
      </c>
      <c r="I81" s="63">
        <f t="array" ref="I81">N(H81) + IFERROR(1*INDEX('Profit &amp; Loss'!$1:$996, MATCH("Reparto a Propietarios*", 'Profit &amp; Loss'!$B:$B, 0), COLUMN()), 0)</f>
        <v>4129585.35</v>
      </c>
      <c r="J81" s="63">
        <f t="array" ref="J81">N(I81) + IFERROR(1*INDEX('Profit &amp; Loss'!$1:$996, MATCH("Reparto a Propietarios*", 'Profit &amp; Loss'!$B:$B, 0), COLUMN()), 0)</f>
        <v>4862264.709</v>
      </c>
      <c r="K81" s="63">
        <f t="array" ref="K81">N(J81) + IFERROR(1*INDEX('Profit &amp; Loss'!$1:$996, MATCH("Reparto a Propietarios*", 'Profit &amp; Loss'!$B:$B, 0), COLUMN()), 0)</f>
        <v>5590708.844</v>
      </c>
      <c r="L81" s="63">
        <f t="array" ref="L81">N(K81) + IFERROR(1*INDEX('Profit &amp; Loss'!$1:$996, MATCH("Reparto a Propietarios*", 'Profit &amp; Loss'!$B:$B, 0), COLUMN()), 0)</f>
        <v>6205648.575</v>
      </c>
      <c r="M81" s="63">
        <f t="array" ref="M81">N(L81) + IFERROR(1*INDEX('Profit &amp; Loss'!$1:$996, MATCH("Reparto a Propietarios*", 'Profit &amp; Loss'!$B:$B, 0), COLUMN()), 0)</f>
        <v>6794236.803</v>
      </c>
      <c r="N81" s="63">
        <f t="array" ref="N81">N(M81) + IFERROR(1*INDEX('Profit &amp; Loss'!$1:$996, MATCH("Reparto a Propietarios*", 'Profit &amp; Loss'!$B:$B, 0), COLUMN()), 0)</f>
        <v>7525809.6</v>
      </c>
      <c r="O81" s="63">
        <f t="array" ref="O81">N(N81) + IFERROR(1*INDEX('Profit &amp; Loss'!$1:$996, MATCH("Reparto a Propietarios*", 'Profit &amp; Loss'!$B:$B, 0), COLUMN()), 0)</f>
        <v>8188544.489</v>
      </c>
      <c r="P81" s="63">
        <f t="array" ref="P81">N(O81) + IFERROR(1*INDEX('Profit &amp; Loss'!$1:$996, MATCH("Reparto a Propietarios*", 'Profit &amp; Loss'!$B:$B, 0), COLUMN()), 0)</f>
        <v>8839589.243</v>
      </c>
      <c r="Q81" s="63">
        <f t="array" ref="Q81">N(P81) + IFERROR(1*INDEX('Profit &amp; Loss'!$1:$996, MATCH("Reparto a Propietarios*", 'Profit &amp; Loss'!$B:$B, 0), COLUMN()), 0)</f>
        <v>9525256.828</v>
      </c>
      <c r="R81" s="63">
        <f t="array" ref="R81">N(Q81) + IFERROR(1*INDEX('Profit &amp; Loss'!$1:$996, MATCH("Reparto a Propietarios*", 'Profit &amp; Loss'!$B:$B, 0), COLUMN()), 0)</f>
        <v>10225342.39</v>
      </c>
      <c r="S81" s="63">
        <f t="array" ref="S81">N(R81) + IFERROR(1*INDEX('Profit &amp; Loss'!$1:$996, MATCH("Reparto a Propietarios*", 'Profit &amp; Loss'!$B:$B, 0), COLUMN()), 0)</f>
        <v>10886897.27</v>
      </c>
      <c r="T81" s="63">
        <f t="array" ref="T81">N(S81) + IFERROR(1*INDEX('Profit &amp; Loss'!$1:$996, MATCH("Reparto a Propietarios*", 'Profit &amp; Loss'!$B:$B, 0), COLUMN()), 0)</f>
        <v>11566484.69</v>
      </c>
      <c r="U81" s="63">
        <f t="array" ref="U81">N(T81) + IFERROR(1*INDEX('Profit &amp; Loss'!$1:$996, MATCH("Reparto a Propietarios*", 'Profit &amp; Loss'!$B:$B, 0), COLUMN()), 0)</f>
        <v>12245167.01</v>
      </c>
      <c r="V81" s="63">
        <f t="array" ref="V81">N(U81) + IFERROR(1*INDEX('Profit &amp; Loss'!$1:$996, MATCH("Reparto a Propietarios*", 'Profit &amp; Loss'!$B:$B, 0), COLUMN()), 0)</f>
        <v>12964632.97</v>
      </c>
      <c r="W81" s="63">
        <f t="array" ref="W81">N(V81) + IFERROR(1*INDEX('Profit &amp; Loss'!$1:$996, MATCH("Reparto a Propietarios*", 'Profit &amp; Loss'!$B:$B, 0), COLUMN()), 0)</f>
        <v>13679941.81</v>
      </c>
      <c r="X81" s="63">
        <f t="array" ref="X81">N(W81) + IFERROR(1*INDEX('Profit &amp; Loss'!$1:$996, MATCH("Reparto a Propietarios*", 'Profit &amp; Loss'!$B:$B, 0), COLUMN()), 0)</f>
        <v>14284272.07</v>
      </c>
      <c r="Y81" s="63">
        <f t="array" ref="Y81">N(X81) + IFERROR(1*INDEX('Profit &amp; Loss'!$1:$996, MATCH("Reparto a Propietarios*", 'Profit &amp; Loss'!$B:$B, 0), COLUMN()), 0)</f>
        <v>14862825.04</v>
      </c>
      <c r="Z81" s="63">
        <f t="array" ref="Z81">N(Y81) + IFERROR(1*INDEX('Profit &amp; Loss'!$1:$996, MATCH("Reparto a Propietarios*", 'Profit &amp; Loss'!$B:$B, 0), COLUMN()), 0)</f>
        <v>15581143.22</v>
      </c>
      <c r="AA81" s="63">
        <f t="array" ref="AA81">N(Z81) + IFERROR(1*INDEX('Profit &amp; Loss'!$1:$996, MATCH("Reparto a Propietarios*", 'Profit &amp; Loss'!$B:$B, 0), COLUMN()), 0)</f>
        <v>16232149.57</v>
      </c>
      <c r="AB81" s="63">
        <f t="array" ref="AB81">N(AA81) + IFERROR(1*INDEX('Profit &amp; Loss'!$1:$996, MATCH("Reparto a Propietarios*", 'Profit &amp; Loss'!$B:$B, 0), COLUMN()), 0)</f>
        <v>16871711.31</v>
      </c>
      <c r="AC81" s="63">
        <f t="array" ref="AC81">N(AB81) + IFERROR(1*INDEX('Profit &amp; Loss'!$1:$996, MATCH("Reparto a Propietarios*", 'Profit &amp; Loss'!$B:$B, 0), COLUMN()), 0)</f>
        <v>17545104.08</v>
      </c>
      <c r="AD81" s="63">
        <f t="array" ref="AD81">N(AC81) + IFERROR(1*INDEX('Profit &amp; Loss'!$1:$996, MATCH("Reparto a Propietarios*", 'Profit &amp; Loss'!$B:$B, 0), COLUMN()), 0)</f>
        <v>18232577.25</v>
      </c>
      <c r="AE81" s="63">
        <f t="array" ref="AE81">N(AD81) + IFERROR(1*INDEX('Profit &amp; Loss'!$1:$996, MATCH("Reparto a Propietarios*", 'Profit &amp; Loss'!$B:$B, 0), COLUMN()), 0)</f>
        <v>18882366.76</v>
      </c>
      <c r="AF81" s="63">
        <f t="array" ref="AF81">N(AE81) + IFERROR(1*INDEX('Profit &amp; Loss'!$1:$996, MATCH("Reparto a Propietarios*", 'Profit &amp; Loss'!$B:$B, 0), COLUMN()), 0)</f>
        <v>19549769.37</v>
      </c>
      <c r="AG81" s="63">
        <f t="array" ref="AG81">N(AF81) + IFERROR(1*INDEX('Profit &amp; Loss'!$1:$996, MATCH("Reparto a Propietarios*", 'Profit &amp; Loss'!$B:$B, 0), COLUMN()), 0)</f>
        <v>20216271.23</v>
      </c>
      <c r="AH81" s="63">
        <f t="array" ref="AH81">N(AG81) + IFERROR(1*INDEX('Profit &amp; Loss'!$1:$996, MATCH("Reparto a Propietarios*", 'Profit &amp; Loss'!$B:$B, 0), COLUMN()), 0)</f>
        <v>20922627.86</v>
      </c>
      <c r="AI81" s="63">
        <f t="array" ref="AI81">N(AH81) + IFERROR(1*INDEX('Profit &amp; Loss'!$1:$996, MATCH("Reparto a Propietarios*", 'Profit &amp; Loss'!$B:$B, 0), COLUMN()), 0)</f>
        <v>21624904.72</v>
      </c>
      <c r="AJ81" s="63">
        <f t="array" ref="AJ81">N(AI81) + IFERROR(1*INDEX('Profit &amp; Loss'!$1:$996, MATCH("Reparto a Propietarios*", 'Profit &amp; Loss'!$B:$B, 0), COLUMN()), 0)</f>
        <v>22218673.25</v>
      </c>
      <c r="AK81" s="63">
        <f t="array" ref="AK81">N(AJ81) + IFERROR(1*INDEX('Profit &amp; Loss'!$1:$996, MATCH("Reparto a Propietarios*", 'Profit &amp; Loss'!$B:$B, 0), COLUMN()), 0)</f>
        <v>22787226.81</v>
      </c>
      <c r="AL81" s="63">
        <f t="array" ref="AL81">N(AK81) + IFERROR(1*INDEX('Profit &amp; Loss'!$1:$996, MATCH("Reparto a Propietarios*", 'Profit &amp; Loss'!$B:$B, 0), COLUMN()), 0)</f>
        <v>23492399.32</v>
      </c>
      <c r="AM81" s="63">
        <f t="array" ref="AM81">N(AL81) + IFERROR(1*INDEX('Profit &amp; Loss'!$1:$996, MATCH("Reparto a Propietarios*", 'Profit &amp; Loss'!$B:$B, 0), COLUMN()), 0)</f>
        <v>24131752.85</v>
      </c>
      <c r="AN81" s="63">
        <f t="array" ref="AN81">N(AM81) + IFERROR(1*INDEX('Profit &amp; Loss'!$1:$996, MATCH("Reparto a Propietarios*", 'Profit &amp; Loss'!$B:$B, 0), COLUMN()), 0)</f>
        <v>24759902.77</v>
      </c>
      <c r="AO81" s="63">
        <f t="array" ref="AO81">N(AN81) + IFERROR(1*INDEX('Profit &amp; Loss'!$1:$996, MATCH("Reparto a Propietarios*", 'Profit &amp; Loss'!$B:$B, 0), COLUMN()), 0)</f>
        <v>25447313.67</v>
      </c>
      <c r="AP81" s="63">
        <f t="array" ref="AP81">N(AO81) + IFERROR(1*INDEX('Profit &amp; Loss'!$1:$996, MATCH("Reparto a Propietarios*", 'Profit &amp; Loss'!$B:$B, 0), COLUMN()), 0)</f>
        <v>26122158.39</v>
      </c>
      <c r="AQ81" s="63">
        <f t="array" ref="AQ81">N(AP81) + IFERROR(1*INDEX('Profit &amp; Loss'!$1:$996, MATCH("Reparto a Propietarios*", 'Profit &amp; Loss'!$B:$B, 0), COLUMN()), 0)</f>
        <v>26760154.69</v>
      </c>
      <c r="AR81" s="63">
        <f t="array" ref="AR81">N(AQ81) + IFERROR(1*INDEX('Profit &amp; Loss'!$1:$996, MATCH("Reparto a Propietarios*", 'Profit &amp; Loss'!$B:$B, 0), COLUMN()), 0)</f>
        <v>27415352.08</v>
      </c>
      <c r="AS81" s="63">
        <f t="array" ref="AS81">N(AR81) + IFERROR(1*INDEX('Profit &amp; Loss'!$1:$996, MATCH("Reparto a Propietarios*", 'Profit &amp; Loss'!$B:$B, 0), COLUMN()), 0)</f>
        <v>28069654.09</v>
      </c>
      <c r="AT81" s="63">
        <f t="array" ref="AT81">N(AS81) + IFERROR(1*INDEX('Profit &amp; Loss'!$1:$996, MATCH("Reparto a Propietarios*", 'Profit &amp; Loss'!$B:$B, 0), COLUMN()), 0)</f>
        <v>28762897.09</v>
      </c>
      <c r="AU81" s="63">
        <f t="array" ref="AU81">N(AT81) + IFERROR(1*INDEX('Profit &amp; Loss'!$1:$996, MATCH("Reparto a Propietarios*", 'Profit &amp; Loss'!$B:$B, 0), COLUMN()), 0)</f>
        <v>29452137.59</v>
      </c>
      <c r="AV81" s="63">
        <f t="array" ref="AV81">N(AU81) + IFERROR(1*INDEX('Profit &amp; Loss'!$1:$996, MATCH("Reparto a Propietarios*", 'Profit &amp; Loss'!$B:$B, 0), COLUMN()), 0)</f>
        <v>30035303.58</v>
      </c>
      <c r="AW81" s="63">
        <f t="array" ref="AW81">N(AV81) + IFERROR(1*INDEX('Profit &amp; Loss'!$1:$996, MATCH("Reparto a Propietarios*", 'Profit &amp; Loss'!$B:$B, 0), COLUMN()), 0)</f>
        <v>30593809.42</v>
      </c>
      <c r="AX81" s="63">
        <f t="array" ref="AX81">N(AW81) + IFERROR(1*INDEX('Profit &amp; Loss'!$1:$996, MATCH("Reparto a Propietarios*", 'Profit &amp; Loss'!$B:$B, 0), COLUMN()), 0)</f>
        <v>31285836.72</v>
      </c>
      <c r="AY81" s="63">
        <f t="array" ref="AY81">N(AX81) + IFERROR(1*INDEX('Profit &amp; Loss'!$1:$996, MATCH("Reparto a Propietarios*", 'Profit &amp; Loss'!$B:$B, 0), COLUMN()), 0)</f>
        <v>31913516.25</v>
      </c>
      <c r="AZ81" s="63">
        <f t="array" ref="AZ81">N(AY81) + IFERROR(1*INDEX('Profit &amp; Loss'!$1:$996, MATCH("Reparto a Propietarios*", 'Profit &amp; Loss'!$B:$B, 0), COLUMN()), 0)</f>
        <v>32530230.56</v>
      </c>
      <c r="BA81" s="63">
        <f t="array" ref="BA81">N(AZ81) + IFERROR(1*INDEX('Profit &amp; Loss'!$1:$996, MATCH("Reparto a Propietarios*", 'Profit &amp; Loss'!$B:$B, 0), COLUMN()), 0)</f>
        <v>33179242.48</v>
      </c>
      <c r="BB81" s="63">
        <f t="array" ref="BB81">N(BA81) + IFERROR(1*INDEX('Profit &amp; Loss'!$1:$996, MATCH("Reparto a Propietarios*", 'Profit &amp; Loss'!$B:$B, 0), COLUMN()), 0)</f>
        <v>33841682.46</v>
      </c>
      <c r="BC81" s="63">
        <f t="array" ref="BC81">N(BB81) + IFERROR(1*INDEX('Profit &amp; Loss'!$1:$996, MATCH("Reparto a Propietarios*", 'Profit &amp; Loss'!$B:$B, 0), COLUMN()), 0)</f>
        <v>34468085.2</v>
      </c>
      <c r="BD81" s="63">
        <f t="array" ref="BD81">N(BC81) + IFERROR(1*INDEX('Profit &amp; Loss'!$1:$996, MATCH("Reparto a Propietarios*", 'Profit &amp; Loss'!$B:$B, 0), COLUMN()), 0)</f>
        <v>35111290.05</v>
      </c>
      <c r="BE81" s="63">
        <f t="array" ref="BE81">N(BD81) + IFERROR(1*INDEX('Profit &amp; Loss'!$1:$996, MATCH("Reparto a Propietarios*", 'Profit &amp; Loss'!$B:$B, 0), COLUMN()), 0)</f>
        <v>35753605.51</v>
      </c>
      <c r="BF81" s="63">
        <f t="array" ref="BF81">N(BE81) + IFERROR(1*INDEX('Profit &amp; Loss'!$1:$996, MATCH("Reparto a Propietarios*", 'Profit &amp; Loss'!$B:$B, 0), COLUMN()), 0)</f>
        <v>36433976.15</v>
      </c>
      <c r="BG81" s="63">
        <f t="array" ref="BG81">N(BF81) + IFERROR(1*INDEX('Profit &amp; Loss'!$1:$996, MATCH("Reparto a Propietarios*", 'Profit &amp; Loss'!$B:$B, 0), COLUMN()), 0)</f>
        <v>37110420.01</v>
      </c>
      <c r="BH81" s="63">
        <f t="array" ref="BH81">N(BG81) + IFERROR(1*INDEX('Profit &amp; Loss'!$1:$996, MATCH("Reparto a Propietarios*", 'Profit &amp; Loss'!$B:$B, 0), COLUMN()), 0)</f>
        <v>37683151.58</v>
      </c>
      <c r="BI81" s="63">
        <f t="array" ref="BI81">N(BH81) + IFERROR(1*INDEX('Profit &amp; Loss'!$1:$996, MATCH("Reparto a Propietarios*", 'Profit &amp; Loss'!$B:$B, 0), COLUMN()), 0)</f>
        <v>38231762.05</v>
      </c>
      <c r="BJ81" s="63">
        <f t="array" ref="BJ81">N(BI81) + IFERROR(1*INDEX('Profit &amp; Loss'!$1:$996, MATCH("Reparto a Propietarios*", 'Profit &amp; Loss'!$B:$B, 0), COLUMN()), 0)</f>
        <v>38910889.4</v>
      </c>
      <c r="BK81" s="63">
        <f t="array" ref="BK81">N(BJ81) + IFERROR(1*INDEX('Profit &amp; Loss'!$1:$996, MATCH("Reparto a Propietarios*", 'Profit &amp; Loss'!$B:$B, 0), COLUMN()), 0)</f>
        <v>39527097.17</v>
      </c>
      <c r="BL81" s="25"/>
      <c r="BM81" s="25"/>
    </row>
    <row r="82">
      <c r="A82" s="25" t="s">
        <v>633</v>
      </c>
      <c r="B82" s="25"/>
      <c r="C82" s="25"/>
      <c r="D82" s="63">
        <f t="shared" ref="D82:BK82" si="26">N(C82) + D38</f>
        <v>0</v>
      </c>
      <c r="E82" s="63">
        <f t="shared" si="26"/>
        <v>662588.4509</v>
      </c>
      <c r="F82" s="63">
        <f t="shared" si="26"/>
        <v>1360610.738</v>
      </c>
      <c r="G82" s="63">
        <f t="shared" si="26"/>
        <v>2073397.253</v>
      </c>
      <c r="H82" s="63">
        <f t="shared" si="26"/>
        <v>2746787.744</v>
      </c>
      <c r="I82" s="63">
        <f t="shared" si="26"/>
        <v>3438640.799</v>
      </c>
      <c r="J82" s="63">
        <f t="shared" si="26"/>
        <v>4129585.35</v>
      </c>
      <c r="K82" s="63">
        <f t="shared" si="26"/>
        <v>4862264.709</v>
      </c>
      <c r="L82" s="63">
        <f t="shared" si="26"/>
        <v>5590708.844</v>
      </c>
      <c r="M82" s="63">
        <f t="shared" si="26"/>
        <v>6205648.575</v>
      </c>
      <c r="N82" s="63">
        <f t="shared" si="26"/>
        <v>6794236.803</v>
      </c>
      <c r="O82" s="63">
        <f t="shared" si="26"/>
        <v>7525809.6</v>
      </c>
      <c r="P82" s="63">
        <f t="shared" si="26"/>
        <v>8188544.489</v>
      </c>
      <c r="Q82" s="63">
        <f t="shared" si="26"/>
        <v>8839589.243</v>
      </c>
      <c r="R82" s="63">
        <f t="shared" si="26"/>
        <v>9525256.828</v>
      </c>
      <c r="S82" s="63">
        <f t="shared" si="26"/>
        <v>10225342.39</v>
      </c>
      <c r="T82" s="63">
        <f t="shared" si="26"/>
        <v>10886897.27</v>
      </c>
      <c r="U82" s="63">
        <f t="shared" si="26"/>
        <v>11566484.69</v>
      </c>
      <c r="V82" s="63">
        <f t="shared" si="26"/>
        <v>12245167.01</v>
      </c>
      <c r="W82" s="63">
        <f t="shared" si="26"/>
        <v>12964632.97</v>
      </c>
      <c r="X82" s="63">
        <f t="shared" si="26"/>
        <v>13679941.81</v>
      </c>
      <c r="Y82" s="63">
        <f t="shared" si="26"/>
        <v>14284272.07</v>
      </c>
      <c r="Z82" s="63">
        <f t="shared" si="26"/>
        <v>14862825.04</v>
      </c>
      <c r="AA82" s="63">
        <f t="shared" si="26"/>
        <v>15581143.22</v>
      </c>
      <c r="AB82" s="63">
        <f t="shared" si="26"/>
        <v>16232149.57</v>
      </c>
      <c r="AC82" s="63">
        <f t="shared" si="26"/>
        <v>16871711.31</v>
      </c>
      <c r="AD82" s="63">
        <f t="shared" si="26"/>
        <v>17545104.08</v>
      </c>
      <c r="AE82" s="63">
        <f t="shared" si="26"/>
        <v>18232577.25</v>
      </c>
      <c r="AF82" s="63">
        <f t="shared" si="26"/>
        <v>18882366.76</v>
      </c>
      <c r="AG82" s="63">
        <f t="shared" si="26"/>
        <v>19549769.37</v>
      </c>
      <c r="AH82" s="63">
        <f t="shared" si="26"/>
        <v>20216271.23</v>
      </c>
      <c r="AI82" s="63">
        <f t="shared" si="26"/>
        <v>20922627.86</v>
      </c>
      <c r="AJ82" s="63">
        <f t="shared" si="26"/>
        <v>21624904.72</v>
      </c>
      <c r="AK82" s="63">
        <f t="shared" si="26"/>
        <v>22218673.25</v>
      </c>
      <c r="AL82" s="63">
        <f t="shared" si="26"/>
        <v>22787226.81</v>
      </c>
      <c r="AM82" s="63">
        <f t="shared" si="26"/>
        <v>23492399.32</v>
      </c>
      <c r="AN82" s="63">
        <f t="shared" si="26"/>
        <v>24131752.85</v>
      </c>
      <c r="AO82" s="63">
        <f t="shared" si="26"/>
        <v>24759902.77</v>
      </c>
      <c r="AP82" s="63">
        <f t="shared" si="26"/>
        <v>25447313.67</v>
      </c>
      <c r="AQ82" s="63">
        <f t="shared" si="26"/>
        <v>26122158.39</v>
      </c>
      <c r="AR82" s="63">
        <f t="shared" si="26"/>
        <v>26760154.69</v>
      </c>
      <c r="AS82" s="63">
        <f t="shared" si="26"/>
        <v>27415352.08</v>
      </c>
      <c r="AT82" s="63">
        <f t="shared" si="26"/>
        <v>28069654.09</v>
      </c>
      <c r="AU82" s="63">
        <f t="shared" si="26"/>
        <v>28762897.09</v>
      </c>
      <c r="AV82" s="63">
        <f t="shared" si="26"/>
        <v>29452137.59</v>
      </c>
      <c r="AW82" s="63">
        <f t="shared" si="26"/>
        <v>30035303.58</v>
      </c>
      <c r="AX82" s="63">
        <f t="shared" si="26"/>
        <v>30593809.42</v>
      </c>
      <c r="AY82" s="63">
        <f t="shared" si="26"/>
        <v>31285836.72</v>
      </c>
      <c r="AZ82" s="63">
        <f t="shared" si="26"/>
        <v>31913516.25</v>
      </c>
      <c r="BA82" s="63">
        <f t="shared" si="26"/>
        <v>32530230.56</v>
      </c>
      <c r="BB82" s="63">
        <f t="shared" si="26"/>
        <v>33179242.48</v>
      </c>
      <c r="BC82" s="63">
        <f t="shared" si="26"/>
        <v>33841682.46</v>
      </c>
      <c r="BD82" s="63">
        <f t="shared" si="26"/>
        <v>34468085.2</v>
      </c>
      <c r="BE82" s="63">
        <f t="shared" si="26"/>
        <v>35111290.05</v>
      </c>
      <c r="BF82" s="63">
        <f t="shared" si="26"/>
        <v>35753605.51</v>
      </c>
      <c r="BG82" s="63">
        <f t="shared" si="26"/>
        <v>36433976.15</v>
      </c>
      <c r="BH82" s="63">
        <f t="shared" si="26"/>
        <v>37110420.01</v>
      </c>
      <c r="BI82" s="63">
        <f t="shared" si="26"/>
        <v>37683151.58</v>
      </c>
      <c r="BJ82" s="63">
        <f t="shared" si="26"/>
        <v>38231762.05</v>
      </c>
      <c r="BK82" s="63">
        <f t="shared" si="26"/>
        <v>38910889.4</v>
      </c>
      <c r="BL82" s="25"/>
      <c r="BM82" s="25"/>
    </row>
    <row r="83">
      <c r="A83" s="25" t="s">
        <v>635</v>
      </c>
      <c r="B83" s="25"/>
      <c r="C83" s="25"/>
      <c r="D83" s="63">
        <f t="shared" ref="D83:BK83" si="27">D81 - D82</f>
        <v>662588.4509</v>
      </c>
      <c r="E83" s="63">
        <f t="shared" si="27"/>
        <v>698022.2867</v>
      </c>
      <c r="F83" s="63">
        <f t="shared" si="27"/>
        <v>712786.5153</v>
      </c>
      <c r="G83" s="63">
        <f t="shared" si="27"/>
        <v>673390.4911</v>
      </c>
      <c r="H83" s="63">
        <f t="shared" si="27"/>
        <v>691853.0554</v>
      </c>
      <c r="I83" s="63">
        <f t="shared" si="27"/>
        <v>690944.5507</v>
      </c>
      <c r="J83" s="63">
        <f t="shared" si="27"/>
        <v>732679.3592</v>
      </c>
      <c r="K83" s="63">
        <f t="shared" si="27"/>
        <v>728444.1344</v>
      </c>
      <c r="L83" s="63">
        <f t="shared" si="27"/>
        <v>614939.7314</v>
      </c>
      <c r="M83" s="63">
        <f t="shared" si="27"/>
        <v>588588.2276</v>
      </c>
      <c r="N83" s="63">
        <f t="shared" si="27"/>
        <v>731572.7976</v>
      </c>
      <c r="O83" s="63">
        <f t="shared" si="27"/>
        <v>662734.8883</v>
      </c>
      <c r="P83" s="63">
        <f t="shared" si="27"/>
        <v>651044.7543</v>
      </c>
      <c r="Q83" s="63">
        <f t="shared" si="27"/>
        <v>685667.5846</v>
      </c>
      <c r="R83" s="63">
        <f t="shared" si="27"/>
        <v>700085.5579</v>
      </c>
      <c r="S83" s="63">
        <f t="shared" si="27"/>
        <v>661554.8891</v>
      </c>
      <c r="T83" s="63">
        <f t="shared" si="27"/>
        <v>679587.4139</v>
      </c>
      <c r="U83" s="63">
        <f t="shared" si="27"/>
        <v>678682.3203</v>
      </c>
      <c r="V83" s="63">
        <f t="shared" si="27"/>
        <v>719465.9605</v>
      </c>
      <c r="W83" s="63">
        <f t="shared" si="27"/>
        <v>715308.8396</v>
      </c>
      <c r="X83" s="63">
        <f t="shared" si="27"/>
        <v>604330.2579</v>
      </c>
      <c r="Y83" s="63">
        <f t="shared" si="27"/>
        <v>578552.9716</v>
      </c>
      <c r="Z83" s="63">
        <f t="shared" si="27"/>
        <v>718318.1815</v>
      </c>
      <c r="AA83" s="63">
        <f t="shared" si="27"/>
        <v>651006.3505</v>
      </c>
      <c r="AB83" s="63">
        <f t="shared" si="27"/>
        <v>639561.7395</v>
      </c>
      <c r="AC83" s="63">
        <f t="shared" si="27"/>
        <v>673392.7681</v>
      </c>
      <c r="AD83" s="63">
        <f t="shared" si="27"/>
        <v>687473.1743</v>
      </c>
      <c r="AE83" s="63">
        <f t="shared" si="27"/>
        <v>649789.5038</v>
      </c>
      <c r="AF83" s="63">
        <f t="shared" si="27"/>
        <v>667402.6108</v>
      </c>
      <c r="AG83" s="63">
        <f t="shared" si="27"/>
        <v>666501.8681</v>
      </c>
      <c r="AH83" s="63">
        <f t="shared" si="27"/>
        <v>706356.6248</v>
      </c>
      <c r="AI83" s="63">
        <f t="shared" si="27"/>
        <v>702276.8641</v>
      </c>
      <c r="AJ83" s="63">
        <f t="shared" si="27"/>
        <v>593768.526</v>
      </c>
      <c r="AK83" s="63">
        <f t="shared" si="27"/>
        <v>568553.5582</v>
      </c>
      <c r="AL83" s="63">
        <f t="shared" si="27"/>
        <v>705172.512</v>
      </c>
      <c r="AM83" s="63">
        <f t="shared" si="27"/>
        <v>639353.5284</v>
      </c>
      <c r="AN83" s="63">
        <f t="shared" si="27"/>
        <v>628149.921</v>
      </c>
      <c r="AO83" s="63">
        <f t="shared" si="27"/>
        <v>687410.898</v>
      </c>
      <c r="AP83" s="63">
        <f t="shared" si="27"/>
        <v>674844.7256</v>
      </c>
      <c r="AQ83" s="63">
        <f t="shared" si="27"/>
        <v>637996.2932</v>
      </c>
      <c r="AR83" s="63">
        <f t="shared" si="27"/>
        <v>655197.3904</v>
      </c>
      <c r="AS83" s="63">
        <f t="shared" si="27"/>
        <v>654302.0084</v>
      </c>
      <c r="AT83" s="63">
        <f t="shared" si="27"/>
        <v>693243.0065</v>
      </c>
      <c r="AU83" s="63">
        <f t="shared" si="27"/>
        <v>689240.4973</v>
      </c>
      <c r="AV83" s="63">
        <f t="shared" si="27"/>
        <v>583165.9933</v>
      </c>
      <c r="AW83" s="63">
        <f t="shared" si="27"/>
        <v>558505.8344</v>
      </c>
      <c r="AX83" s="63">
        <f t="shared" si="27"/>
        <v>692027.3024</v>
      </c>
      <c r="AY83" s="63">
        <f t="shared" si="27"/>
        <v>627679.5321</v>
      </c>
      <c r="AZ83" s="63">
        <f t="shared" si="27"/>
        <v>616714.3101</v>
      </c>
      <c r="BA83" s="63">
        <f t="shared" si="27"/>
        <v>649011.916</v>
      </c>
      <c r="BB83" s="63">
        <f t="shared" si="27"/>
        <v>662439.9832</v>
      </c>
      <c r="BC83" s="63">
        <f t="shared" si="27"/>
        <v>626402.7422</v>
      </c>
      <c r="BD83" s="63">
        <f t="shared" si="27"/>
        <v>643204.8508</v>
      </c>
      <c r="BE83" s="63">
        <f t="shared" si="27"/>
        <v>642315.4581</v>
      </c>
      <c r="BF83" s="63">
        <f t="shared" si="27"/>
        <v>680370.6346</v>
      </c>
      <c r="BG83" s="63">
        <f t="shared" si="27"/>
        <v>676443.859</v>
      </c>
      <c r="BH83" s="63">
        <f t="shared" si="27"/>
        <v>572731.5744</v>
      </c>
      <c r="BI83" s="63">
        <f t="shared" si="27"/>
        <v>548610.4693</v>
      </c>
      <c r="BJ83" s="63">
        <f t="shared" si="27"/>
        <v>679127.3494</v>
      </c>
      <c r="BK83" s="63">
        <f t="shared" si="27"/>
        <v>616207.7726</v>
      </c>
      <c r="BL83" s="25"/>
      <c r="BM83" s="25"/>
    </row>
    <row r="84">
      <c r="A84" s="25" t="s">
        <v>637</v>
      </c>
      <c r="B84" s="25"/>
      <c r="C84" s="25"/>
      <c r="D84" s="63">
        <f t="shared" ref="D84:BK84" si="28">D74 - D83</f>
        <v>-775252.749</v>
      </c>
      <c r="E84" s="63">
        <f t="shared" si="28"/>
        <v>-1597113.776</v>
      </c>
      <c r="F84" s="63">
        <f t="shared" si="28"/>
        <v>-2136353.388</v>
      </c>
      <c r="G84" s="63">
        <f t="shared" si="28"/>
        <v>-2039634.346</v>
      </c>
      <c r="H84" s="63">
        <f t="shared" si="28"/>
        <v>-1939529.666</v>
      </c>
      <c r="I84" s="63">
        <f t="shared" si="28"/>
        <v>-1829521.518</v>
      </c>
      <c r="J84" s="63">
        <f t="shared" si="28"/>
        <v>-1720625.406</v>
      </c>
      <c r="K84" s="63">
        <f t="shared" si="28"/>
        <v>-1646730.438</v>
      </c>
      <c r="L84" s="63">
        <f t="shared" si="28"/>
        <v>-1583104.897</v>
      </c>
      <c r="M84" s="63">
        <f t="shared" si="28"/>
        <v>-1470426.113</v>
      </c>
      <c r="N84" s="63">
        <f t="shared" si="28"/>
        <v>-1367944.781</v>
      </c>
      <c r="O84" s="63">
        <f t="shared" si="28"/>
        <v>-1284235.106</v>
      </c>
      <c r="P84" s="63">
        <f t="shared" si="28"/>
        <v>-1188717.231</v>
      </c>
      <c r="Q84" s="63">
        <f t="shared" si="28"/>
        <v>-1089335.406</v>
      </c>
      <c r="R84" s="63">
        <f t="shared" si="28"/>
        <v>-1003518.682</v>
      </c>
      <c r="S84" s="63">
        <f t="shared" si="28"/>
        <v>-916433.5972</v>
      </c>
      <c r="T84" s="63">
        <f t="shared" si="28"/>
        <v>-826027.3687</v>
      </c>
      <c r="U84" s="63">
        <f t="shared" si="28"/>
        <v>-725927.5143</v>
      </c>
      <c r="V84" s="63">
        <f t="shared" si="28"/>
        <v>-626903.5584</v>
      </c>
      <c r="W84" s="63">
        <f t="shared" si="28"/>
        <v>-562084.8489</v>
      </c>
      <c r="X84" s="63">
        <f t="shared" si="28"/>
        <v>-507293.884</v>
      </c>
      <c r="Y84" s="63">
        <f t="shared" si="28"/>
        <v>-404537.4153</v>
      </c>
      <c r="Z84" s="63">
        <f t="shared" si="28"/>
        <v>-518318.1815</v>
      </c>
      <c r="AA84" s="63">
        <f t="shared" si="28"/>
        <v>-451006.3505</v>
      </c>
      <c r="AB84" s="63">
        <f t="shared" si="28"/>
        <v>-439561.7395</v>
      </c>
      <c r="AC84" s="63">
        <f t="shared" si="28"/>
        <v>-473392.7681</v>
      </c>
      <c r="AD84" s="63">
        <f t="shared" si="28"/>
        <v>-471150.4519</v>
      </c>
      <c r="AE84" s="63">
        <f t="shared" si="28"/>
        <v>-387324.2322</v>
      </c>
      <c r="AF84" s="63">
        <f t="shared" si="28"/>
        <v>-300240.6</v>
      </c>
      <c r="AG84" s="63">
        <f t="shared" si="28"/>
        <v>-203669.2029</v>
      </c>
      <c r="AH84" s="63">
        <f t="shared" si="28"/>
        <v>-108139.0511</v>
      </c>
      <c r="AI84" s="63">
        <f t="shared" si="28"/>
        <v>-46036.78791</v>
      </c>
      <c r="AJ84" s="63">
        <f t="shared" si="28"/>
        <v>6273.301026</v>
      </c>
      <c r="AK84" s="63">
        <f t="shared" si="28"/>
        <v>105484.8563</v>
      </c>
      <c r="AL84" s="63">
        <f t="shared" si="28"/>
        <v>194973.1034</v>
      </c>
      <c r="AM84" s="63">
        <f t="shared" si="28"/>
        <v>266542.2212</v>
      </c>
      <c r="AN84" s="63">
        <f t="shared" si="28"/>
        <v>356406.1191</v>
      </c>
      <c r="AO84" s="63">
        <f t="shared" si="28"/>
        <v>443004.0322</v>
      </c>
      <c r="AP84" s="63">
        <f t="shared" si="28"/>
        <v>513449.3921</v>
      </c>
      <c r="AQ84" s="63">
        <f t="shared" si="28"/>
        <v>587124.4611</v>
      </c>
      <c r="AR84" s="63">
        <f t="shared" si="28"/>
        <v>664712.4393</v>
      </c>
      <c r="AS84" s="63">
        <f t="shared" si="28"/>
        <v>751584.6823</v>
      </c>
      <c r="AT84" s="63">
        <f t="shared" si="28"/>
        <v>837449.0945</v>
      </c>
      <c r="AU84" s="63">
        <f t="shared" si="28"/>
        <v>890650.4311</v>
      </c>
      <c r="AV84" s="63">
        <f t="shared" si="28"/>
        <v>934290.8511</v>
      </c>
      <c r="AW84" s="63">
        <f t="shared" si="28"/>
        <v>1023784.137</v>
      </c>
      <c r="AX84" s="63">
        <f t="shared" si="28"/>
        <v>1103783.855</v>
      </c>
      <c r="AY84" s="63">
        <f t="shared" si="28"/>
        <v>1166278.466</v>
      </c>
      <c r="AZ84" s="63">
        <f t="shared" si="28"/>
        <v>1239835.442</v>
      </c>
      <c r="BA84" s="63">
        <f t="shared" si="28"/>
        <v>1316336.418</v>
      </c>
      <c r="BB84" s="63">
        <f t="shared" si="28"/>
        <v>1380192.581</v>
      </c>
      <c r="BC84" s="63">
        <f t="shared" si="28"/>
        <v>1445265.852</v>
      </c>
      <c r="BD84" s="63">
        <f t="shared" si="28"/>
        <v>1513470.926</v>
      </c>
      <c r="BE84" s="63">
        <f t="shared" si="28"/>
        <v>1590762.26</v>
      </c>
      <c r="BF84" s="63">
        <f t="shared" si="28"/>
        <v>1667077.661</v>
      </c>
      <c r="BG84" s="63">
        <f t="shared" si="28"/>
        <v>1711471.5</v>
      </c>
      <c r="BH84" s="63">
        <f t="shared" si="28"/>
        <v>1746528.259</v>
      </c>
      <c r="BI84" s="63">
        <f t="shared" si="28"/>
        <v>1826419.958</v>
      </c>
      <c r="BJ84" s="63">
        <f t="shared" si="28"/>
        <v>1897040.453</v>
      </c>
      <c r="BK84" s="63">
        <f t="shared" si="28"/>
        <v>1771932.505</v>
      </c>
      <c r="BL84" s="25"/>
      <c r="BM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</row>
    <row r="86">
      <c r="A86" s="59" t="s">
        <v>638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25"/>
      <c r="BM86" s="25"/>
    </row>
    <row r="87">
      <c r="A87" s="36" t="s">
        <v>639</v>
      </c>
      <c r="B87" s="25"/>
      <c r="C87" s="25"/>
      <c r="D87" s="216" t="str">
        <f t="shared" ref="D87:BK87" si="29">IF(D65+D64&gt;0, D46 / (D65+D64), "N/A")</f>
        <v>N/A</v>
      </c>
      <c r="E87" s="216">
        <f t="shared" si="29"/>
        <v>27.49340218</v>
      </c>
      <c r="F87" s="216">
        <f t="shared" si="29"/>
        <v>18.63177384</v>
      </c>
      <c r="G87" s="216">
        <f t="shared" si="29"/>
        <v>10.17168281</v>
      </c>
      <c r="H87" s="216">
        <f t="shared" si="29"/>
        <v>19.97075909</v>
      </c>
      <c r="I87" s="216">
        <f t="shared" si="29"/>
        <v>18.45594285</v>
      </c>
      <c r="J87" s="216">
        <f t="shared" si="29"/>
        <v>25.1009474</v>
      </c>
      <c r="K87" s="216">
        <f t="shared" si="29"/>
        <v>12.14555893</v>
      </c>
      <c r="L87" s="216">
        <f t="shared" si="29"/>
        <v>-6.980617996</v>
      </c>
      <c r="M87" s="216">
        <f t="shared" si="29"/>
        <v>14.81236485</v>
      </c>
      <c r="N87" s="216">
        <f t="shared" si="29"/>
        <v>40.27454433</v>
      </c>
      <c r="O87" s="216">
        <f t="shared" si="29"/>
        <v>3.37948241</v>
      </c>
      <c r="P87" s="216">
        <f t="shared" si="29"/>
        <v>14.41243871</v>
      </c>
      <c r="Q87" s="216">
        <f t="shared" si="29"/>
        <v>22.44074476</v>
      </c>
      <c r="R87" s="216">
        <f t="shared" si="29"/>
        <v>17.0375515</v>
      </c>
      <c r="S87" s="216">
        <f t="shared" si="29"/>
        <v>8.76870663</v>
      </c>
      <c r="T87" s="216">
        <f t="shared" si="29"/>
        <v>18.35020054</v>
      </c>
      <c r="U87" s="216">
        <f t="shared" si="29"/>
        <v>16.87116172</v>
      </c>
      <c r="V87" s="216">
        <f t="shared" si="29"/>
        <v>23.36921539</v>
      </c>
      <c r="W87" s="216">
        <f t="shared" si="29"/>
        <v>10.70585417</v>
      </c>
      <c r="X87" s="216">
        <f t="shared" si="29"/>
        <v>-7.990018689</v>
      </c>
      <c r="Y87" s="216">
        <f t="shared" si="29"/>
        <v>13.3166692</v>
      </c>
      <c r="Z87" s="216">
        <f t="shared" si="29"/>
        <v>1.122090196</v>
      </c>
      <c r="AA87" s="216">
        <f t="shared" si="29"/>
        <v>1</v>
      </c>
      <c r="AB87" s="216">
        <f t="shared" si="29"/>
        <v>1</v>
      </c>
      <c r="AC87" s="216">
        <f t="shared" si="29"/>
        <v>1</v>
      </c>
      <c r="AD87" s="216">
        <f t="shared" si="29"/>
        <v>1.203190165</v>
      </c>
      <c r="AE87" s="216" t="str">
        <f t="shared" si="29"/>
        <v>N/A</v>
      </c>
      <c r="AF87" s="216" t="str">
        <f t="shared" si="29"/>
        <v>N/A</v>
      </c>
      <c r="AG87" s="216" t="str">
        <f t="shared" si="29"/>
        <v>N/A</v>
      </c>
      <c r="AH87" s="216" t="str">
        <f t="shared" si="29"/>
        <v>N/A</v>
      </c>
      <c r="AI87" s="216" t="str">
        <f t="shared" si="29"/>
        <v>N/A</v>
      </c>
      <c r="AJ87" s="216" t="str">
        <f t="shared" si="29"/>
        <v>N/A</v>
      </c>
      <c r="AK87" s="216" t="str">
        <f t="shared" si="29"/>
        <v>N/A</v>
      </c>
      <c r="AL87" s="216" t="str">
        <f t="shared" si="29"/>
        <v>N/A</v>
      </c>
      <c r="AM87" s="216" t="str">
        <f t="shared" si="29"/>
        <v>N/A</v>
      </c>
      <c r="AN87" s="216" t="str">
        <f t="shared" si="29"/>
        <v>N/A</v>
      </c>
      <c r="AO87" s="216" t="str">
        <f t="shared" si="29"/>
        <v>N/A</v>
      </c>
      <c r="AP87" s="216" t="str">
        <f t="shared" si="29"/>
        <v>N/A</v>
      </c>
      <c r="AQ87" s="216" t="str">
        <f t="shared" si="29"/>
        <v>N/A</v>
      </c>
      <c r="AR87" s="216" t="str">
        <f t="shared" si="29"/>
        <v>N/A</v>
      </c>
      <c r="AS87" s="216" t="str">
        <f t="shared" si="29"/>
        <v>N/A</v>
      </c>
      <c r="AT87" s="216" t="str">
        <f t="shared" si="29"/>
        <v>N/A</v>
      </c>
      <c r="AU87" s="216" t="str">
        <f t="shared" si="29"/>
        <v>N/A</v>
      </c>
      <c r="AV87" s="216" t="str">
        <f t="shared" si="29"/>
        <v>N/A</v>
      </c>
      <c r="AW87" s="216" t="str">
        <f t="shared" si="29"/>
        <v>N/A</v>
      </c>
      <c r="AX87" s="216" t="str">
        <f t="shared" si="29"/>
        <v>N/A</v>
      </c>
      <c r="AY87" s="216" t="str">
        <f t="shared" si="29"/>
        <v>N/A</v>
      </c>
      <c r="AZ87" s="216" t="str">
        <f t="shared" si="29"/>
        <v>N/A</v>
      </c>
      <c r="BA87" s="216" t="str">
        <f t="shared" si="29"/>
        <v>N/A</v>
      </c>
      <c r="BB87" s="216" t="str">
        <f t="shared" si="29"/>
        <v>N/A</v>
      </c>
      <c r="BC87" s="216" t="str">
        <f t="shared" si="29"/>
        <v>N/A</v>
      </c>
      <c r="BD87" s="216" t="str">
        <f t="shared" si="29"/>
        <v>N/A</v>
      </c>
      <c r="BE87" s="216" t="str">
        <f t="shared" si="29"/>
        <v>N/A</v>
      </c>
      <c r="BF87" s="216" t="str">
        <f t="shared" si="29"/>
        <v>N/A</v>
      </c>
      <c r="BG87" s="216" t="str">
        <f t="shared" si="29"/>
        <v>N/A</v>
      </c>
      <c r="BH87" s="216" t="str">
        <f t="shared" si="29"/>
        <v>N/A</v>
      </c>
      <c r="BI87" s="216" t="str">
        <f t="shared" si="29"/>
        <v>N/A</v>
      </c>
      <c r="BJ87" s="216" t="str">
        <f t="shared" si="29"/>
        <v>N/A</v>
      </c>
      <c r="BK87" s="216" t="str">
        <f t="shared" si="29"/>
        <v>N/A</v>
      </c>
      <c r="BL87" s="25"/>
      <c r="BM87" s="25"/>
    </row>
    <row r="88">
      <c r="A88" s="36" t="s">
        <v>640</v>
      </c>
      <c r="B88" s="25"/>
      <c r="C88" s="25"/>
      <c r="D88" s="217">
        <f t="shared" ref="D88:BK88" si="30">IF(D71&lt;0, D70 / ABS(D71), "N/A")</f>
        <v>0</v>
      </c>
      <c r="E88" s="217">
        <f t="shared" si="30"/>
        <v>-0.1444086029</v>
      </c>
      <c r="F88" s="217">
        <f t="shared" si="30"/>
        <v>-1.734942977</v>
      </c>
      <c r="G88" s="217" t="str">
        <f t="shared" si="30"/>
        <v>N/A</v>
      </c>
      <c r="H88" s="217" t="str">
        <f t="shared" si="30"/>
        <v>N/A</v>
      </c>
      <c r="I88" s="217" t="str">
        <f t="shared" si="30"/>
        <v>N/A</v>
      </c>
      <c r="J88" s="217" t="str">
        <f t="shared" si="30"/>
        <v>N/A</v>
      </c>
      <c r="K88" s="217" t="str">
        <f t="shared" si="30"/>
        <v>N/A</v>
      </c>
      <c r="L88" s="217">
        <f t="shared" si="30"/>
        <v>-21.04767924</v>
      </c>
      <c r="M88" s="217" t="str">
        <f t="shared" si="30"/>
        <v>N/A</v>
      </c>
      <c r="N88" s="217" t="str">
        <f t="shared" si="30"/>
        <v>N/A</v>
      </c>
      <c r="O88" s="217" t="str">
        <f t="shared" si="30"/>
        <v>N/A</v>
      </c>
      <c r="P88" s="217" t="str">
        <f t="shared" si="30"/>
        <v>N/A</v>
      </c>
      <c r="Q88" s="217" t="str">
        <f t="shared" si="30"/>
        <v>N/A</v>
      </c>
      <c r="R88" s="217" t="str">
        <f t="shared" si="30"/>
        <v>N/A</v>
      </c>
      <c r="S88" s="217" t="str">
        <f t="shared" si="30"/>
        <v>N/A</v>
      </c>
      <c r="T88" s="217" t="str">
        <f t="shared" si="30"/>
        <v>N/A</v>
      </c>
      <c r="U88" s="217" t="str">
        <f t="shared" si="30"/>
        <v>N/A</v>
      </c>
      <c r="V88" s="217" t="str">
        <f t="shared" si="30"/>
        <v>N/A</v>
      </c>
      <c r="W88" s="217" t="str">
        <f t="shared" si="30"/>
        <v>N/A</v>
      </c>
      <c r="X88" s="217">
        <f t="shared" si="30"/>
        <v>3.068308031</v>
      </c>
      <c r="Y88" s="217" t="str">
        <f t="shared" si="30"/>
        <v>N/A</v>
      </c>
      <c r="Z88" s="217" t="str">
        <f t="shared" si="30"/>
        <v>N/A</v>
      </c>
      <c r="AA88" s="217" t="str">
        <f t="shared" si="30"/>
        <v>N/A</v>
      </c>
      <c r="AB88" s="217" t="str">
        <f t="shared" si="30"/>
        <v>N/A</v>
      </c>
      <c r="AC88" s="217" t="str">
        <f t="shared" si="30"/>
        <v>N/A</v>
      </c>
      <c r="AD88" s="217" t="str">
        <f t="shared" si="30"/>
        <v>N/A</v>
      </c>
      <c r="AE88" s="217" t="str">
        <f t="shared" si="30"/>
        <v>N/A</v>
      </c>
      <c r="AF88" s="217" t="str">
        <f t="shared" si="30"/>
        <v>N/A</v>
      </c>
      <c r="AG88" s="217" t="str">
        <f t="shared" si="30"/>
        <v>N/A</v>
      </c>
      <c r="AH88" s="217" t="str">
        <f t="shared" si="30"/>
        <v>N/A</v>
      </c>
      <c r="AI88" s="217" t="str">
        <f t="shared" si="30"/>
        <v>N/A</v>
      </c>
      <c r="AJ88" s="217">
        <f t="shared" si="30"/>
        <v>11.67723347</v>
      </c>
      <c r="AK88" s="217" t="str">
        <f t="shared" si="30"/>
        <v>N/A</v>
      </c>
      <c r="AL88" s="217" t="str">
        <f t="shared" si="30"/>
        <v>N/A</v>
      </c>
      <c r="AM88" s="217" t="str">
        <f t="shared" si="30"/>
        <v>N/A</v>
      </c>
      <c r="AN88" s="217" t="str">
        <f t="shared" si="30"/>
        <v>N/A</v>
      </c>
      <c r="AO88" s="217" t="str">
        <f t="shared" si="30"/>
        <v>N/A</v>
      </c>
      <c r="AP88" s="217" t="str">
        <f t="shared" si="30"/>
        <v>N/A</v>
      </c>
      <c r="AQ88" s="217" t="str">
        <f t="shared" si="30"/>
        <v>N/A</v>
      </c>
      <c r="AR88" s="217" t="str">
        <f t="shared" si="30"/>
        <v>N/A</v>
      </c>
      <c r="AS88" s="217" t="str">
        <f t="shared" si="30"/>
        <v>N/A</v>
      </c>
      <c r="AT88" s="217" t="str">
        <f t="shared" si="30"/>
        <v>N/A</v>
      </c>
      <c r="AU88" s="217" t="str">
        <f t="shared" si="30"/>
        <v>N/A</v>
      </c>
      <c r="AV88" s="217">
        <f t="shared" si="30"/>
        <v>25.30494284</v>
      </c>
      <c r="AW88" s="217" t="str">
        <f t="shared" si="30"/>
        <v>N/A</v>
      </c>
      <c r="AX88" s="217" t="str">
        <f t="shared" si="30"/>
        <v>N/A</v>
      </c>
      <c r="AY88" s="217">
        <f t="shared" si="30"/>
        <v>969.0536943</v>
      </c>
      <c r="AZ88" s="217" t="str">
        <f t="shared" si="30"/>
        <v>N/A</v>
      </c>
      <c r="BA88" s="217" t="str">
        <f t="shared" si="30"/>
        <v>N/A</v>
      </c>
      <c r="BB88" s="217" t="str">
        <f t="shared" si="30"/>
        <v>N/A</v>
      </c>
      <c r="BC88" s="217" t="str">
        <f t="shared" si="30"/>
        <v>N/A</v>
      </c>
      <c r="BD88" s="217" t="str">
        <f t="shared" si="30"/>
        <v>N/A</v>
      </c>
      <c r="BE88" s="217" t="str">
        <f t="shared" si="30"/>
        <v>N/A</v>
      </c>
      <c r="BF88" s="217" t="str">
        <f t="shared" si="30"/>
        <v>N/A</v>
      </c>
      <c r="BG88" s="217" t="str">
        <f t="shared" si="30"/>
        <v>N/A</v>
      </c>
      <c r="BH88" s="217">
        <f t="shared" si="30"/>
        <v>34.78110954</v>
      </c>
      <c r="BI88" s="217" t="str">
        <f t="shared" si="30"/>
        <v>N/A</v>
      </c>
      <c r="BJ88" s="217" t="str">
        <f t="shared" si="30"/>
        <v>N/A</v>
      </c>
      <c r="BK88" s="217">
        <f t="shared" si="30"/>
        <v>13.70101428</v>
      </c>
      <c r="BL88" s="25"/>
      <c r="BM88" s="25"/>
    </row>
    <row r="89">
      <c r="A89" s="36" t="s">
        <v>641</v>
      </c>
      <c r="B89" s="25"/>
      <c r="C89" s="25"/>
      <c r="D89" s="63">
        <f t="shared" ref="D89:BK89" si="31">AVERAGE(B71:D71)</f>
        <v>-612664.2982</v>
      </c>
      <c r="E89" s="63">
        <f t="shared" si="31"/>
        <v>-696420.7446</v>
      </c>
      <c r="F89" s="63">
        <f t="shared" si="31"/>
        <v>-637022.2908</v>
      </c>
      <c r="G89" s="63">
        <f t="shared" si="31"/>
        <v>-411609.8522</v>
      </c>
      <c r="H89" s="63">
        <f t="shared" si="31"/>
        <v>-109945.0404</v>
      </c>
      <c r="I89" s="63">
        <f t="shared" si="31"/>
        <v>101246.6349</v>
      </c>
      <c r="J89" s="63">
        <f t="shared" si="31"/>
        <v>132349.2695</v>
      </c>
      <c r="K89" s="63">
        <f t="shared" si="31"/>
        <v>116046.7691</v>
      </c>
      <c r="L89" s="63">
        <f t="shared" si="31"/>
        <v>63053.93402</v>
      </c>
      <c r="M89" s="63">
        <f t="shared" si="31"/>
        <v>41619.38704</v>
      </c>
      <c r="N89" s="63">
        <f t="shared" si="31"/>
        <v>100221.44</v>
      </c>
      <c r="O89" s="63">
        <f t="shared" si="31"/>
        <v>121804.9825</v>
      </c>
      <c r="P89" s="63">
        <f t="shared" si="31"/>
        <v>120971.803</v>
      </c>
      <c r="Q89" s="63">
        <f t="shared" si="31"/>
        <v>83818.05391</v>
      </c>
      <c r="R89" s="63">
        <f t="shared" si="31"/>
        <v>112272.3645</v>
      </c>
      <c r="S89" s="63">
        <f t="shared" si="31"/>
        <v>100514.5894</v>
      </c>
      <c r="T89" s="63">
        <f t="shared" si="31"/>
        <v>91992.62225</v>
      </c>
      <c r="U89" s="63">
        <f t="shared" si="31"/>
        <v>91645.97686</v>
      </c>
      <c r="V89" s="63">
        <f t="shared" si="31"/>
        <v>122063.7034</v>
      </c>
      <c r="W89" s="63">
        <f t="shared" si="31"/>
        <v>106137.9818</v>
      </c>
      <c r="X89" s="63">
        <f t="shared" si="31"/>
        <v>54343.85597</v>
      </c>
      <c r="Y89" s="63">
        <f t="shared" si="31"/>
        <v>33401.05141</v>
      </c>
      <c r="Z89" s="63">
        <f t="shared" si="31"/>
        <v>90701.96804</v>
      </c>
      <c r="AA89" s="63">
        <f t="shared" si="31"/>
        <v>111813.5283</v>
      </c>
      <c r="AB89" s="63">
        <f t="shared" si="31"/>
        <v>111010.3178</v>
      </c>
      <c r="AC89" s="63">
        <f t="shared" si="31"/>
        <v>74624.57292</v>
      </c>
      <c r="AD89" s="63">
        <f t="shared" si="31"/>
        <v>102377.2077</v>
      </c>
      <c r="AE89" s="63">
        <f t="shared" si="31"/>
        <v>90818.20716</v>
      </c>
      <c r="AF89" s="63">
        <f t="shared" si="31"/>
        <v>82498.08559</v>
      </c>
      <c r="AG89" s="63">
        <f t="shared" si="31"/>
        <v>82169.98096</v>
      </c>
      <c r="AH89" s="63">
        <f t="shared" si="31"/>
        <v>111917.434</v>
      </c>
      <c r="AI89" s="63">
        <f t="shared" si="31"/>
        <v>96359.35515</v>
      </c>
      <c r="AJ89" s="63">
        <f t="shared" si="31"/>
        <v>45736.38727</v>
      </c>
      <c r="AK89" s="63">
        <f t="shared" si="31"/>
        <v>25273.61359</v>
      </c>
      <c r="AL89" s="63">
        <f t="shared" si="31"/>
        <v>81301.84639</v>
      </c>
      <c r="AM89" s="63">
        <f t="shared" si="31"/>
        <v>101951.3075</v>
      </c>
      <c r="AN89" s="63">
        <f t="shared" si="31"/>
        <v>103505.8752</v>
      </c>
      <c r="AO89" s="63">
        <f t="shared" si="31"/>
        <v>76756.4383</v>
      </c>
      <c r="AP89" s="63">
        <f t="shared" si="31"/>
        <v>94132.78933</v>
      </c>
      <c r="AQ89" s="63">
        <f t="shared" si="31"/>
        <v>80188.23805</v>
      </c>
      <c r="AR89" s="63">
        <f t="shared" si="31"/>
        <v>63164.96648</v>
      </c>
      <c r="AS89" s="63">
        <f t="shared" si="31"/>
        <v>72530.85769</v>
      </c>
      <c r="AT89" s="63">
        <f t="shared" si="31"/>
        <v>101857.1156</v>
      </c>
      <c r="AU89" s="63">
        <f t="shared" si="31"/>
        <v>86660.36623</v>
      </c>
      <c r="AV89" s="63">
        <f t="shared" si="31"/>
        <v>37190.05122</v>
      </c>
      <c r="AW89" s="63">
        <f t="shared" si="31"/>
        <v>17199.29015</v>
      </c>
      <c r="AX89" s="63">
        <f t="shared" si="31"/>
        <v>71973.40965</v>
      </c>
      <c r="AY89" s="63">
        <f t="shared" si="31"/>
        <v>92167.05114</v>
      </c>
      <c r="AZ89" s="63">
        <f t="shared" si="31"/>
        <v>91419.92699</v>
      </c>
      <c r="BA89" s="63">
        <f t="shared" si="31"/>
        <v>56512.39228</v>
      </c>
      <c r="BB89" s="63">
        <f t="shared" si="31"/>
        <v>82891.52212</v>
      </c>
      <c r="BC89" s="63">
        <f t="shared" si="31"/>
        <v>71706.28041</v>
      </c>
      <c r="BD89" s="63">
        <f t="shared" si="31"/>
        <v>63775.81419</v>
      </c>
      <c r="BE89" s="63">
        <f t="shared" si="31"/>
        <v>63481.71791</v>
      </c>
      <c r="BF89" s="63">
        <f t="shared" si="31"/>
        <v>91926.56738</v>
      </c>
      <c r="BG89" s="63">
        <f t="shared" si="31"/>
        <v>77079.86061</v>
      </c>
      <c r="BH89" s="63">
        <f t="shared" si="31"/>
        <v>28727.3717</v>
      </c>
      <c r="BI89" s="63">
        <f t="shared" si="31"/>
        <v>9194.043944</v>
      </c>
      <c r="BJ89" s="63">
        <f t="shared" si="31"/>
        <v>62750.81452</v>
      </c>
      <c r="BK89" s="63">
        <f t="shared" si="31"/>
        <v>22960.14813</v>
      </c>
      <c r="BL89" s="25"/>
      <c r="BM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</row>
    <row r="91">
      <c r="A91" s="59" t="s">
        <v>642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25"/>
      <c r="BM91" s="25"/>
    </row>
    <row r="92">
      <c r="A92" s="36" t="s">
        <v>643</v>
      </c>
      <c r="B92" s="25"/>
      <c r="C92" s="25"/>
      <c r="D92" s="25" t="s">
        <v>644</v>
      </c>
      <c r="E92" s="25" t="s">
        <v>645</v>
      </c>
      <c r="F92" s="25" t="s">
        <v>646</v>
      </c>
      <c r="G92" s="25" t="s">
        <v>647</v>
      </c>
      <c r="H92" s="25" t="s">
        <v>648</v>
      </c>
      <c r="I92" s="25" t="s">
        <v>649</v>
      </c>
      <c r="J92" s="25" t="s">
        <v>650</v>
      </c>
      <c r="K92" s="25" t="s">
        <v>651</v>
      </c>
      <c r="L92" s="25" t="s">
        <v>652</v>
      </c>
      <c r="M92" s="25" t="s">
        <v>653</v>
      </c>
      <c r="N92" s="25" t="s">
        <v>654</v>
      </c>
      <c r="O92" s="25" t="s">
        <v>655</v>
      </c>
      <c r="P92" s="25" t="s">
        <v>656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</row>
    <row r="93">
      <c r="A93" s="36" t="s">
        <v>657</v>
      </c>
      <c r="B93" s="25"/>
      <c r="C93" s="25"/>
      <c r="D93" s="63">
        <f t="shared" ref="D93:P93" si="32">($D$35+$E$35+$F$35)/13</f>
        <v>243228.1905</v>
      </c>
      <c r="E93" s="63">
        <f t="shared" si="32"/>
        <v>243228.1905</v>
      </c>
      <c r="F93" s="63">
        <f t="shared" si="32"/>
        <v>243228.1905</v>
      </c>
      <c r="G93" s="63">
        <f t="shared" si="32"/>
        <v>243228.1905</v>
      </c>
      <c r="H93" s="63">
        <f t="shared" si="32"/>
        <v>243228.1905</v>
      </c>
      <c r="I93" s="63">
        <f t="shared" si="32"/>
        <v>243228.1905</v>
      </c>
      <c r="J93" s="63">
        <f t="shared" si="32"/>
        <v>243228.1905</v>
      </c>
      <c r="K93" s="63">
        <f t="shared" si="32"/>
        <v>243228.1905</v>
      </c>
      <c r="L93" s="63">
        <f t="shared" si="32"/>
        <v>243228.1905</v>
      </c>
      <c r="M93" s="63">
        <f t="shared" si="32"/>
        <v>243228.1905</v>
      </c>
      <c r="N93" s="63">
        <f t="shared" si="32"/>
        <v>243228.1905</v>
      </c>
      <c r="O93" s="63">
        <f t="shared" si="32"/>
        <v>243228.1905</v>
      </c>
      <c r="P93" s="63">
        <f t="shared" si="32"/>
        <v>243228.1905</v>
      </c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</row>
    <row r="94">
      <c r="A94" s="36" t="s">
        <v>658</v>
      </c>
      <c r="B94" s="25"/>
      <c r="C94" s="25"/>
      <c r="D94" s="63">
        <f t="shared" ref="D94:P94" si="33">($D$43+$E$43+$F$43)/13</f>
        <v>146127.9616</v>
      </c>
      <c r="E94" s="63">
        <f t="shared" si="33"/>
        <v>146127.9616</v>
      </c>
      <c r="F94" s="63">
        <f t="shared" si="33"/>
        <v>146127.9616</v>
      </c>
      <c r="G94" s="63">
        <f t="shared" si="33"/>
        <v>146127.9616</v>
      </c>
      <c r="H94" s="63">
        <f t="shared" si="33"/>
        <v>146127.9616</v>
      </c>
      <c r="I94" s="63">
        <f t="shared" si="33"/>
        <v>146127.9616</v>
      </c>
      <c r="J94" s="63">
        <f t="shared" si="33"/>
        <v>146127.9616</v>
      </c>
      <c r="K94" s="63">
        <f t="shared" si="33"/>
        <v>146127.9616</v>
      </c>
      <c r="L94" s="63">
        <f t="shared" si="33"/>
        <v>146127.9616</v>
      </c>
      <c r="M94" s="63">
        <f t="shared" si="33"/>
        <v>146127.9616</v>
      </c>
      <c r="N94" s="63">
        <f t="shared" si="33"/>
        <v>146127.9616</v>
      </c>
      <c r="O94" s="63">
        <f t="shared" si="33"/>
        <v>146127.9616</v>
      </c>
      <c r="P94" s="63">
        <f t="shared" si="33"/>
        <v>146127.9616</v>
      </c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</row>
    <row r="95">
      <c r="A95" s="36" t="s">
        <v>659</v>
      </c>
      <c r="B95" s="25"/>
      <c r="C95" s="25"/>
      <c r="D95" s="63">
        <f t="shared" ref="D95:P95" si="34">D93 - D94</f>
        <v>97100.22895</v>
      </c>
      <c r="E95" s="63">
        <f t="shared" si="34"/>
        <v>97100.22895</v>
      </c>
      <c r="F95" s="63">
        <f t="shared" si="34"/>
        <v>97100.22895</v>
      </c>
      <c r="G95" s="63">
        <f t="shared" si="34"/>
        <v>97100.22895</v>
      </c>
      <c r="H95" s="63">
        <f t="shared" si="34"/>
        <v>97100.22895</v>
      </c>
      <c r="I95" s="63">
        <f t="shared" si="34"/>
        <v>97100.22895</v>
      </c>
      <c r="J95" s="63">
        <f t="shared" si="34"/>
        <v>97100.22895</v>
      </c>
      <c r="K95" s="63">
        <f t="shared" si="34"/>
        <v>97100.22895</v>
      </c>
      <c r="L95" s="63">
        <f t="shared" si="34"/>
        <v>97100.22895</v>
      </c>
      <c r="M95" s="63">
        <f t="shared" si="34"/>
        <v>97100.22895</v>
      </c>
      <c r="N95" s="63">
        <f t="shared" si="34"/>
        <v>97100.22895</v>
      </c>
      <c r="O95" s="63">
        <f t="shared" si="34"/>
        <v>97100.22895</v>
      </c>
      <c r="P95" s="63">
        <f t="shared" si="34"/>
        <v>97100.22895</v>
      </c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</row>
    <row r="96">
      <c r="A96" s="36" t="s">
        <v>619</v>
      </c>
      <c r="B96" s="25"/>
      <c r="C96" s="25"/>
      <c r="D96" s="63">
        <f t="shared" ref="D96:P96" si="35">IF(COLUMN()=4, $D$70 + D95, N(C96) + D95)</f>
        <v>97100.22895</v>
      </c>
      <c r="E96" s="63">
        <f t="shared" si="35"/>
        <v>194200.4579</v>
      </c>
      <c r="F96" s="63">
        <f t="shared" si="35"/>
        <v>291300.6868</v>
      </c>
      <c r="G96" s="63">
        <f t="shared" si="35"/>
        <v>388400.9158</v>
      </c>
      <c r="H96" s="63">
        <f t="shared" si="35"/>
        <v>485501.1447</v>
      </c>
      <c r="I96" s="63">
        <f t="shared" si="35"/>
        <v>582601.3737</v>
      </c>
      <c r="J96" s="63">
        <f t="shared" si="35"/>
        <v>679701.6026</v>
      </c>
      <c r="K96" s="63">
        <f t="shared" si="35"/>
        <v>776801.8316</v>
      </c>
      <c r="L96" s="63">
        <f t="shared" si="35"/>
        <v>873902.0605</v>
      </c>
      <c r="M96" s="63">
        <f t="shared" si="35"/>
        <v>971002.2895</v>
      </c>
      <c r="N96" s="63">
        <f t="shared" si="35"/>
        <v>1068102.518</v>
      </c>
      <c r="O96" s="63">
        <f t="shared" si="35"/>
        <v>1165202.747</v>
      </c>
      <c r="P96" s="63">
        <f t="shared" si="35"/>
        <v>1262302.976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</row>
    <row r="98">
      <c r="A98" s="59" t="s">
        <v>660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25"/>
      <c r="BM98" s="25"/>
    </row>
    <row r="99">
      <c r="A99" s="36" t="s">
        <v>661</v>
      </c>
      <c r="B99" s="25"/>
      <c r="C99" s="25"/>
      <c r="D99" s="25" t="s">
        <v>25</v>
      </c>
      <c r="E99" s="25" t="s">
        <v>662</v>
      </c>
      <c r="F99" s="218" t="s">
        <v>663</v>
      </c>
      <c r="G99" s="25" t="s">
        <v>664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</row>
    <row r="100">
      <c r="A100" s="36" t="s">
        <v>665</v>
      </c>
      <c r="B100" s="25"/>
      <c r="C100" s="25"/>
      <c r="D100" s="63">
        <f>$B$76</f>
        <v>-1423566.872</v>
      </c>
      <c r="E100" s="63">
        <f t="array" ref="E100">MIN(0, MIN(SCAN(0, D71:BK71 - D35:BK35*0.1, LAMBDA(a, v, a+v))))</f>
        <v>-889195.8473</v>
      </c>
      <c r="F100" s="63">
        <f t="array" ref="F100">MIN(0, MIN(SCAN(0, D71:BK71 - D43:BK43*0.1, LAMBDA(a, v, a+v))))</f>
        <v>-616356.4533</v>
      </c>
      <c r="G100" s="63">
        <f t="array" ref="G100">MIN(0, MIN(SCAN(0, D71:BK71 - D35:BK35*0.1 - D43:BK43*0.1, LAMBDA(a, v, a+v))))</f>
        <v>-142754.0527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</row>
    <row r="102">
      <c r="A102" s="59" t="s">
        <v>666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</row>
    <row r="103">
      <c r="A103" s="36" t="s">
        <v>667</v>
      </c>
      <c r="B103" s="25"/>
      <c r="C103" s="25"/>
      <c r="D103" s="219" t="str">
        <f>IF(ROUND(BK74 - (D70 + SUM(D71:BK71) + SUM(D67:BK67)), 2) = 0, "OK", "ERROR")</f>
        <v>OK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</row>
    <row r="104">
      <c r="A104" s="36" t="s">
        <v>668</v>
      </c>
      <c r="B104" s="25"/>
      <c r="C104" s="25"/>
      <c r="D104" s="219" t="str">
        <f>IF(COUNTIF(D50:BK50, FALSE)=0, "OK", "ERROR")</f>
        <v>OK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</row>
    <row r="105">
      <c r="A105" s="36" t="s">
        <v>669</v>
      </c>
      <c r="B105" s="25"/>
      <c r="C105" s="25"/>
      <c r="D105" s="219" t="str">
        <f>IF(MIN(D84:BK84)&gt;=0, "OK", "ERROR")</f>
        <v>ERROR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</row>
  </sheetData>
  <conditionalFormatting sqref="D103:D105">
    <cfRule type="cellIs" dxfId="7" priority="1" stopIfTrue="1" operator="equal">
      <formula>"OK"</formula>
    </cfRule>
  </conditionalFormatting>
  <conditionalFormatting sqref="D103:D105">
    <cfRule type="cellIs" dxfId="8" priority="2" stopIfTrue="1" operator="equal">
      <formula>"ERROR"</formula>
    </cfRule>
  </conditionalFormatting>
  <conditionalFormatting sqref="D84:BK84">
    <cfRule type="cellIs" dxfId="8" priority="3" stopIfTrue="1" operator="lessThan">
      <formula>0</formula>
    </cfRule>
  </conditionalFormatting>
  <conditionalFormatting sqref="D73:BK73">
    <cfRule type="cellIs" dxfId="9" priority="4" stopIfTrue="1" operator="lessThan">
      <formula>0</formula>
    </cfRule>
  </conditionalFormatting>
  <hyperlinks>
    <hyperlink r:id="rId1" ref="A2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50.0"/>
    <col customWidth="1" min="2" max="5" width="9.88"/>
    <col customWidth="1" min="6" max="7" width="18.0"/>
    <col customWidth="1" min="8" max="11" width="9.88"/>
  </cols>
  <sheetData>
    <row r="1">
      <c r="A1" s="4" t="s">
        <v>3</v>
      </c>
    </row>
    <row r="2">
      <c r="A2" s="5" t="s">
        <v>7</v>
      </c>
      <c r="B2" s="5" t="s">
        <v>8</v>
      </c>
      <c r="G2" s="5" t="s">
        <v>9</v>
      </c>
    </row>
    <row r="3"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</row>
    <row r="4">
      <c r="A4" s="8" t="s">
        <v>18</v>
      </c>
    </row>
    <row r="5">
      <c r="A5" s="9" t="s">
        <v>20</v>
      </c>
      <c r="B5" s="16">
        <f>AVERAGE(OFFSET('Profit &amp; Loss'!$A$1, MATCH("({UO} | AT-AMP-02) - Analisis de Mercado [No. 1 - KIVA]", 'Profit &amp; Loss'!$B:$B, 0), (COLUMN()-2)*12 + 3, 1, 12))</f>
        <v>24.01638548</v>
      </c>
      <c r="C5" s="16">
        <f>AVERAGE(OFFSET('Profit &amp; Loss'!$A$1, MATCH("({UO} | AT-AMP-02) - Analisis de Mercado [No. 1 - KIVA]", 'Profit &amp; Loss'!$B:$B, 0), (COLUMN()-2)*12 + 3, 1, 12))</f>
        <v>22.57540235</v>
      </c>
      <c r="D5" s="16">
        <f>AVERAGE(OFFSET('Profit &amp; Loss'!$A$1, MATCH("({UO} | AT-AMP-02) - Analisis de Mercado [No. 1 - KIVA]", 'Profit &amp; Loss'!$B:$B, 0), (COLUMN()-2)*12 + 3, 1, 12))</f>
        <v>21.22087821</v>
      </c>
      <c r="E5" s="16">
        <f>AVERAGE(OFFSET('Profit &amp; Loss'!$A$1, MATCH("({UO} | AT-AMP-02) - Analisis de Mercado [No. 1 - KIVA]", 'Profit &amp; Loss'!$B:$B, 0), (COLUMN()-2)*12 + 3, 1, 12))</f>
        <v>19.94482232</v>
      </c>
      <c r="F5" s="16">
        <f>AVERAGE(OFFSET('Profit &amp; Loss'!$A$1, MATCH("({UO} | AT-AMP-02) - Analisis de Mercado [No. 1 - KIVA]", 'Profit &amp; Loss'!$B:$B, 0), (COLUMN()-2)*12 + 3, 1, 12))</f>
        <v>18.7475896</v>
      </c>
      <c r="G5" s="16">
        <f>AVERAGE(OFFSET('Profit &amp; Loss'!$A$1, MATCH("({UO} | AT-AMP-02) - Analisis de Mercado [No. 2 - KIVA]", 'Profit &amp; Loss'!$B:$B, 0), (COLUMN()-7)*12 + 3, 1, 12))</f>
        <v>14.77931414</v>
      </c>
      <c r="H5" s="16">
        <f>AVERAGE(OFFSET('Profit &amp; Loss'!$A$1, MATCH("({UO} | AT-AMP-02) - Analisis de Mercado [No. 2 - KIVA]", 'Profit &amp; Loss'!$B:$B, 0), (COLUMN()-7)*12 + 3, 1, 12))</f>
        <v>13.89255529</v>
      </c>
      <c r="I5" s="16">
        <f>AVERAGE(OFFSET('Profit &amp; Loss'!$A$1, MATCH("({UO} | AT-AMP-02) - Analisis de Mercado [No. 2 - KIVA]", 'Profit &amp; Loss'!$B:$B, 0), (COLUMN()-7)*12 + 3, 1, 12))</f>
        <v>13.05900198</v>
      </c>
      <c r="J5" s="16">
        <f>AVERAGE(OFFSET('Profit &amp; Loss'!$A$1, MATCH("({UO} | AT-AMP-02) - Analisis de Mercado [No. 2 - KIVA]", 'Profit &amp; Loss'!$B:$B, 0), (COLUMN()-7)*12 + 3, 1, 12))</f>
        <v>12.27373681</v>
      </c>
      <c r="K5" s="16">
        <f>AVERAGE(OFFSET('Profit &amp; Loss'!$A$1, MATCH("({UO} | AT-AMP-02) - Analisis de Mercado [No. 2 - KIVA]", 'Profit &amp; Loss'!$B:$B, 0), (COLUMN()-7)*12 + 3, 1, 12))</f>
        <v>11.53697821</v>
      </c>
    </row>
    <row r="6">
      <c r="A6" s="9" t="s">
        <v>45</v>
      </c>
      <c r="B6" s="31">
        <f>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 / SUMPRODUCT(OFFSET('Profit &amp; Loss'!$A$1, MATCH("({UO} | AT-AMP-02) - Analisis de Mercado [No. 1 - KIVA]", 'Profit &amp; Loss'!$B:$B, 0)-1, (COLUMN()-2)*12 + 3, 1, 12), 1/(OFFSET('Profit &amp; Loss'!$A$1, MATCH("({UO} | AT-AMP-02) - Analisis de Mercado [No. 1 - KIVA]", 'Profit &amp; Loss'!$B:$B, 0)+2, (COLUMN()-2)*12 + 3, 1, 12) * OFFSET('Profit &amp; Loss'!$A$1, MATCH("({UO} | AT-AMP-02) - Analisis de Mercado [No. 1 - KIVA]", 'Profit &amp; Loss'!$B:$B, 0)+1, (COLUMN()-2)*12 + 3, 1, 12)))</f>
        <v>0.6507751525</v>
      </c>
      <c r="C6" s="31">
        <f>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 / SUMPRODUCT(OFFSET('Profit &amp; Loss'!$A$1, MATCH("({UO} | AT-AMP-02) - Analisis de Mercado [No. 1 - KIVA]", 'Profit &amp; Loss'!$B:$B, 0)-1, (COLUMN()-2)*12 + 3, 1, 12), 1/(OFFSET('Profit &amp; Loss'!$A$1, MATCH("({UO} | AT-AMP-02) - Analisis de Mercado [No. 1 - KIVA]", 'Profit &amp; Loss'!$B:$B, 0)+2, (COLUMN()-2)*12 + 3, 1, 12) * OFFSET('Profit &amp; Loss'!$A$1, MATCH("({UO} | AT-AMP-02) - Analisis de Mercado [No. 1 - KIVA]", 'Profit &amp; Loss'!$B:$B, 0)+1, (COLUMN()-2)*12 + 3, 1, 12)))</f>
        <v>0.6507751525</v>
      </c>
      <c r="D6" s="31">
        <f>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 / SUMPRODUCT(OFFSET('Profit &amp; Loss'!$A$1, MATCH("({UO} | AT-AMP-02) - Analisis de Mercado [No. 1 - KIVA]", 'Profit &amp; Loss'!$B:$B, 0)-1, (COLUMN()-2)*12 + 3, 1, 12), 1/(OFFSET('Profit &amp; Loss'!$A$1, MATCH("({UO} | AT-AMP-02) - Analisis de Mercado [No. 1 - KIVA]", 'Profit &amp; Loss'!$B:$B, 0)+2, (COLUMN()-2)*12 + 3, 1, 12) * OFFSET('Profit &amp; Loss'!$A$1, MATCH("({UO} | AT-AMP-02) - Analisis de Mercado [No. 1 - KIVA]", 'Profit &amp; Loss'!$B:$B, 0)+1, (COLUMN()-2)*12 + 3, 1, 12)))</f>
        <v>0.6507751525</v>
      </c>
      <c r="E6" s="31">
        <f>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 / SUMPRODUCT(OFFSET('Profit &amp; Loss'!$A$1, MATCH("({UO} | AT-AMP-02) - Analisis de Mercado [No. 1 - KIVA]", 'Profit &amp; Loss'!$B:$B, 0)-1, (COLUMN()-2)*12 + 3, 1, 12), 1/(OFFSET('Profit &amp; Loss'!$A$1, MATCH("({UO} | AT-AMP-02) - Analisis de Mercado [No. 1 - KIVA]", 'Profit &amp; Loss'!$B:$B, 0)+2, (COLUMN()-2)*12 + 3, 1, 12) * OFFSET('Profit &amp; Loss'!$A$1, MATCH("({UO} | AT-AMP-02) - Analisis de Mercado [No. 1 - KIVA]", 'Profit &amp; Loss'!$B:$B, 0)+1, (COLUMN()-2)*12 + 3, 1, 12)))</f>
        <v>0.6508597686</v>
      </c>
      <c r="F6" s="31">
        <f>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 / SUMPRODUCT(OFFSET('Profit &amp; Loss'!$A$1, MATCH("({UO} | AT-AMP-02) - Analisis de Mercado [No. 1 - KIVA]", 'Profit &amp; Loss'!$B:$B, 0)-1, (COLUMN()-2)*12 + 3, 1, 12), 1/(OFFSET('Profit &amp; Loss'!$A$1, MATCH("({UO} | AT-AMP-02) - Analisis de Mercado [No. 1 - KIVA]", 'Profit &amp; Loss'!$B:$B, 0)+2, (COLUMN()-2)*12 + 3, 1, 12) * OFFSET('Profit &amp; Loss'!$A$1, MATCH("({UO} | AT-AMP-02) - Analisis de Mercado [No. 1 - KIVA]", 'Profit &amp; Loss'!$B:$B, 0)+1, (COLUMN()-2)*12 + 3, 1, 12)))</f>
        <v>0.6507751525</v>
      </c>
      <c r="G6" s="31">
        <f>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 / SUMPRODUCT(OFFSET('Profit &amp; Loss'!$A$1, MATCH("({UO} | AT-AMP-02) - Analisis de Mercado [No. 2 - KIVA]", 'Profit &amp; Loss'!$B:$B, 0)-1, (COLUMN()-7)*12 + 3, 1, 12), 1/(OFFSET('Profit &amp; Loss'!$A$1, MATCH("({UO} | AT-AMP-02) - Analisis de Mercado [No. 2 - KIVA]", 'Profit &amp; Loss'!$B:$B, 0)+2, (COLUMN()-7)*12 + 3, 1, 12) * OFFSET('Profit &amp; Loss'!$A$1, MATCH("({UO} | AT-AMP-02) - Analisis de Mercado [No. 2 - KIVA]", 'Profit &amp; Loss'!$B:$B, 0)+1, (COLUMN()-7)*12 + 3, 1, 12)))</f>
        <v>0.6200820646</v>
      </c>
      <c r="H6" s="31">
        <f>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 / SUMPRODUCT(OFFSET('Profit &amp; Loss'!$A$1, MATCH("({UO} | AT-AMP-02) - Analisis de Mercado [No. 2 - KIVA]", 'Profit &amp; Loss'!$B:$B, 0)-1, (COLUMN()-7)*12 + 3, 1, 12), 1/(OFFSET('Profit &amp; Loss'!$A$1, MATCH("({UO} | AT-AMP-02) - Analisis de Mercado [No. 2 - KIVA]", 'Profit &amp; Loss'!$B:$B, 0)+2, (COLUMN()-7)*12 + 3, 1, 12) * OFFSET('Profit &amp; Loss'!$A$1, MATCH("({UO} | AT-AMP-02) - Analisis de Mercado [No. 2 - KIVA]", 'Profit &amp; Loss'!$B:$B, 0)+1, (COLUMN()-7)*12 + 3, 1, 12)))</f>
        <v>0.6200820646</v>
      </c>
      <c r="I6" s="31">
        <f>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 / SUMPRODUCT(OFFSET('Profit &amp; Loss'!$A$1, MATCH("({UO} | AT-AMP-02) - Analisis de Mercado [No. 2 - KIVA]", 'Profit &amp; Loss'!$B:$B, 0)-1, (COLUMN()-7)*12 + 3, 1, 12), 1/(OFFSET('Profit &amp; Loss'!$A$1, MATCH("({UO} | AT-AMP-02) - Analisis de Mercado [No. 2 - KIVA]", 'Profit &amp; Loss'!$B:$B, 0)+2, (COLUMN()-7)*12 + 3, 1, 12) * OFFSET('Profit &amp; Loss'!$A$1, MATCH("({UO} | AT-AMP-02) - Analisis de Mercado [No. 2 - KIVA]", 'Profit &amp; Loss'!$B:$B, 0)+1, (COLUMN()-7)*12 + 3, 1, 12)))</f>
        <v>0.6200820646</v>
      </c>
      <c r="J6" s="31">
        <f>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 / SUMPRODUCT(OFFSET('Profit &amp; Loss'!$A$1, MATCH("({UO} | AT-AMP-02) - Analisis de Mercado [No. 2 - KIVA]", 'Profit &amp; Loss'!$B:$B, 0)-1, (COLUMN()-7)*12 + 3, 1, 12), 1/(OFFSET('Profit &amp; Loss'!$A$1, MATCH("({UO} | AT-AMP-02) - Analisis de Mercado [No. 2 - KIVA]", 'Profit &amp; Loss'!$B:$B, 0)+2, (COLUMN()-7)*12 + 3, 1, 12) * OFFSET('Profit &amp; Loss'!$A$1, MATCH("({UO} | AT-AMP-02) - Analisis de Mercado [No. 2 - KIVA]", 'Profit &amp; Loss'!$B:$B, 0)+1, (COLUMN()-7)*12 + 3, 1, 12)))</f>
        <v>0.6201545461</v>
      </c>
      <c r="K6" s="31">
        <f>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 / SUMPRODUCT(OFFSET('Profit &amp; Loss'!$A$1, MATCH("({UO} | AT-AMP-02) - Analisis de Mercado [No. 2 - KIVA]", 'Profit &amp; Loss'!$B:$B, 0)-1, (COLUMN()-7)*12 + 3, 1, 12), 1/(OFFSET('Profit &amp; Loss'!$A$1, MATCH("({UO} | AT-AMP-02) - Analisis de Mercado [No. 2 - KIVA]", 'Profit &amp; Loss'!$B:$B, 0)+2, (COLUMN()-7)*12 + 3, 1, 12) * OFFSET('Profit &amp; Loss'!$A$1, MATCH("({UO} | AT-AMP-02) - Analisis de Mercado [No. 2 - KIVA]", 'Profit &amp; Loss'!$B:$B, 0)+1, (COLUMN()-7)*12 + 3, 1, 12)))</f>
        <v>0.6200820646</v>
      </c>
    </row>
    <row r="7">
      <c r="A7" s="9" t="s">
        <v>203</v>
      </c>
      <c r="B7" s="18">
        <f>SUM(OFFSET('Profit &amp; Loss'!$A$1, MATCH("({UO} | AT-AMP-02) - Analisis de Mercado [No. 1 - KIVA]", 'Profit &amp; Loss'!$B:$B, 0)-1, (COLUMN()-2)*12 + 3, 1, 12)) / 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</f>
        <v>1266.129054</v>
      </c>
      <c r="C7" s="18">
        <f>SUM(OFFSET('Profit &amp; Loss'!$A$1, MATCH("({UO} | AT-AMP-02) - Analisis de Mercado [No. 1 - KIVA]", 'Profit &amp; Loss'!$B:$B, 0)-1, (COLUMN()-2)*12 + 3, 1, 12)) / 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</f>
        <v>1316.774216</v>
      </c>
      <c r="D7" s="18">
        <f>SUM(OFFSET('Profit &amp; Loss'!$A$1, MATCH("({UO} | AT-AMP-02) - Analisis de Mercado [No. 1 - KIVA]", 'Profit &amp; Loss'!$B:$B, 0)-1, (COLUMN()-2)*12 + 3, 1, 12)) / 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</f>
        <v>1369.445185</v>
      </c>
      <c r="E7" s="18">
        <f>SUM(OFFSET('Profit &amp; Loss'!$A$1, MATCH("({UO} | AT-AMP-02) - Analisis de Mercado [No. 1 - KIVA]", 'Profit &amp; Loss'!$B:$B, 0)-1, (COLUMN()-2)*12 + 3, 1, 12)) / 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</f>
        <v>1424.49923</v>
      </c>
      <c r="F7" s="18">
        <f>SUM(OFFSET('Profit &amp; Loss'!$A$1, MATCH("({UO} | AT-AMP-02) - Analisis de Mercado [No. 1 - KIVA]", 'Profit &amp; Loss'!$B:$B, 0)-1, (COLUMN()-2)*12 + 3, 1, 12)) / SUMPRODUCT(OFFSET('Profit &amp; Loss'!$A$1, MATCH("({UO} | AT-AMP-02) - Analisis de Mercado [No. 1 - KIVA]", 'Profit &amp; Loss'!$B:$B, 0)-1, (COLUMN()-2)*12 + 3, 1, 12), 1/OFFSET('Profit &amp; Loss'!$A$1, MATCH("({UO} | AT-AMP-02) - Analisis de Mercado [No. 1 - KIVA]", 'Profit &amp; Loss'!$B:$B, 0)+2, (COLUMN()-2)*12 + 3, 1, 12))</f>
        <v>1481.191912</v>
      </c>
      <c r="G7" s="18">
        <f>SUM(OFFSET('Profit &amp; Loss'!$A$1, MATCH("({UO} | AT-AMP-02) - Analisis de Mercado [No. 2 - KIVA]", 'Profit &amp; Loss'!$B:$B, 0)-1, (COLUMN()-7)*12 + 3, 1, 12)) / 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</f>
        <v>1513.154164</v>
      </c>
      <c r="H7" s="18">
        <f>SUM(OFFSET('Profit &amp; Loss'!$A$1, MATCH("({UO} | AT-AMP-02) - Analisis de Mercado [No. 2 - KIVA]", 'Profit &amp; Loss'!$B:$B, 0)-1, (COLUMN()-7)*12 + 3, 1, 12)) / 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</f>
        <v>1573.680331</v>
      </c>
      <c r="I7" s="18">
        <f>SUM(OFFSET('Profit &amp; Loss'!$A$1, MATCH("({UO} | AT-AMP-02) - Analisis de Mercado [No. 2 - KIVA]", 'Profit &amp; Loss'!$B:$B, 0)-1, (COLUMN()-7)*12 + 3, 1, 12)) / 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</f>
        <v>1636.627544</v>
      </c>
      <c r="J7" s="18">
        <f>SUM(OFFSET('Profit &amp; Loss'!$A$1, MATCH("({UO} | AT-AMP-02) - Analisis de Mercado [No. 2 - KIVA]", 'Profit &amp; Loss'!$B:$B, 0)-1, (COLUMN()-7)*12 + 3, 1, 12)) / 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</f>
        <v>1702.100863</v>
      </c>
      <c r="K7" s="18">
        <f>SUM(OFFSET('Profit &amp; Loss'!$A$1, MATCH("({UO} | AT-AMP-02) - Analisis de Mercado [No. 2 - KIVA]", 'Profit &amp; Loss'!$B:$B, 0)-1, (COLUMN()-7)*12 + 3, 1, 12)) / SUMPRODUCT(OFFSET('Profit &amp; Loss'!$A$1, MATCH("({UO} | AT-AMP-02) - Analisis de Mercado [No. 2 - KIVA]", 'Profit &amp; Loss'!$B:$B, 0)-1, (COLUMN()-7)*12 + 3, 1, 12), 1/OFFSET('Profit &amp; Loss'!$A$1, MATCH("({UO} | AT-AMP-02) - Analisis de Mercado [No. 2 - KIVA]", 'Profit &amp; Loss'!$B:$B, 0)+2, (COLUMN()-7)*12 + 3, 1, 12))</f>
        <v>1770.176352</v>
      </c>
    </row>
    <row r="8">
      <c r="A8" s="9" t="s">
        <v>219</v>
      </c>
      <c r="B8" s="18">
        <f>SUM(OFFSET('Profit &amp; Loss'!$A$1, MATCH("({UO} | AT-AMP-02) - Analisis de Mercado [No. 1 - KIVA]", 'Profit &amp; Loss'!$B:$B, 0)-1, (COLUMN()-2)*12 + 3, 1, 12)) / B5</f>
        <v>300707.5054</v>
      </c>
      <c r="C8" s="18">
        <f>SUM(OFFSET('Profit &amp; Loss'!$A$1, MATCH("({UO} | AT-AMP-02) - Analisis de Mercado [No. 1 - KIVA]", 'Profit &amp; Loss'!$B:$B, 0)-1, (COLUMN()-2)*12 + 3, 1, 12)) / C5</f>
        <v>312735.8056</v>
      </c>
      <c r="D8" s="18">
        <f>SUM(OFFSET('Profit &amp; Loss'!$A$1, MATCH("({UO} | AT-AMP-02) - Analisis de Mercado [No. 1 - KIVA]", 'Profit &amp; Loss'!$B:$B, 0)-1, (COLUMN()-2)*12 + 3, 1, 12)) / D5</f>
        <v>325245.2378</v>
      </c>
      <c r="E8" s="18">
        <f>SUM(OFFSET('Profit &amp; Loss'!$A$1, MATCH("({UO} | AT-AMP-02) - Analisis de Mercado [No. 1 - KIVA]", 'Profit &amp; Loss'!$B:$B, 0)-1, (COLUMN()-2)*12 + 3, 1, 12)) / E5</f>
        <v>339313.0263</v>
      </c>
      <c r="F8" s="18">
        <f>SUM(OFFSET('Profit &amp; Loss'!$A$1, MATCH("({UO} | AT-AMP-02) - Analisis de Mercado [No. 1 - KIVA]", 'Profit &amp; Loss'!$B:$B, 0)-1, (COLUMN()-2)*12 + 3, 1, 12)) / F5</f>
        <v>351785.2492</v>
      </c>
      <c r="G8" s="18">
        <f>SUM(OFFSET('Profit &amp; Loss'!$A$1, MATCH("({UO} | AT-AMP-02) - Analisis de Mercado [No. 2 - KIVA]", 'Profit &amp; Loss'!$B:$B, 0)-1, (COLUMN()-7)*12 + 3, 1, 12)) / G5</f>
        <v>342426.7452</v>
      </c>
      <c r="H8" s="18">
        <f>SUM(OFFSET('Profit &amp; Loss'!$A$1, MATCH("({UO} | AT-AMP-02) - Analisis de Mercado [No. 2 - KIVA]", 'Profit &amp; Loss'!$B:$B, 0)-1, (COLUMN()-7)*12 + 3, 1, 12)) / H5</f>
        <v>356123.815</v>
      </c>
      <c r="I8" s="18">
        <f>SUM(OFFSET('Profit &amp; Loss'!$A$1, MATCH("({UO} | AT-AMP-02) - Analisis de Mercado [No. 2 - KIVA]", 'Profit &amp; Loss'!$B:$B, 0)-1, (COLUMN()-7)*12 + 3, 1, 12)) / I5</f>
        <v>370368.7676</v>
      </c>
      <c r="J8" s="18">
        <f>SUM(OFFSET('Profit &amp; Loss'!$A$1, MATCH("({UO} | AT-AMP-02) - Analisis de Mercado [No. 2 - KIVA]", 'Profit &amp; Loss'!$B:$B, 0)-1, (COLUMN()-7)*12 + 3, 1, 12)) / J5</f>
        <v>386310.1419</v>
      </c>
      <c r="K8" s="18">
        <f>SUM(OFFSET('Profit &amp; Loss'!$A$1, MATCH("({UO} | AT-AMP-02) - Analisis de Mercado [No. 2 - KIVA]", 'Profit &amp; Loss'!$B:$B, 0)-1, (COLUMN()-7)*12 + 3, 1, 12)) / K5</f>
        <v>400590.859</v>
      </c>
    </row>
    <row r="9">
      <c r="A9" s="9" t="s">
        <v>223</v>
      </c>
      <c r="B9" s="18">
        <f t="shared" ref="B9:K9" si="1">B17</f>
        <v>200472.9258</v>
      </c>
      <c r="C9" s="18">
        <f t="shared" si="1"/>
        <v>209494.151</v>
      </c>
      <c r="D9" s="18">
        <f t="shared" si="1"/>
        <v>218876.2252</v>
      </c>
      <c r="E9" s="18">
        <f t="shared" si="1"/>
        <v>229424.9785</v>
      </c>
      <c r="F9" s="18">
        <f t="shared" si="1"/>
        <v>238781.2337</v>
      </c>
      <c r="G9" s="18">
        <f t="shared" si="1"/>
        <v>228285.9266</v>
      </c>
      <c r="H9" s="18">
        <f t="shared" si="1"/>
        <v>238558.7289</v>
      </c>
      <c r="I9" s="18">
        <f t="shared" si="1"/>
        <v>249242.4434</v>
      </c>
      <c r="J9" s="18">
        <f t="shared" si="1"/>
        <v>261201.8671</v>
      </c>
      <c r="K9" s="18">
        <f t="shared" si="1"/>
        <v>271909.0119</v>
      </c>
    </row>
    <row r="10">
      <c r="A10" s="9" t="s">
        <v>225</v>
      </c>
      <c r="B10" s="18">
        <f t="shared" ref="B10:K10" si="2">B8-B9</f>
        <v>100234.5795</v>
      </c>
      <c r="C10" s="18">
        <f t="shared" si="2"/>
        <v>103241.6546</v>
      </c>
      <c r="D10" s="18">
        <f t="shared" si="2"/>
        <v>106369.0126</v>
      </c>
      <c r="E10" s="18">
        <f t="shared" si="2"/>
        <v>109888.0478</v>
      </c>
      <c r="F10" s="18">
        <f t="shared" si="2"/>
        <v>113004.0155</v>
      </c>
      <c r="G10" s="18">
        <f t="shared" si="2"/>
        <v>114140.8186</v>
      </c>
      <c r="H10" s="18">
        <f t="shared" si="2"/>
        <v>117565.0861</v>
      </c>
      <c r="I10" s="18">
        <f t="shared" si="2"/>
        <v>121126.3242</v>
      </c>
      <c r="J10" s="18">
        <f t="shared" si="2"/>
        <v>125108.2748</v>
      </c>
      <c r="K10" s="18">
        <f t="shared" si="2"/>
        <v>128681.8471</v>
      </c>
    </row>
    <row r="11">
      <c r="A11" s="9" t="s">
        <v>235</v>
      </c>
      <c r="B11" s="18">
        <f>SUM(OFFSET('Profit &amp; Loss'!$A$1, MATCH("Convenio Limpieza &amp; Mantenimiento",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B5</f>
        <v>25048.9352</v>
      </c>
      <c r="C11" s="18">
        <f>SUM(OFFSET('Profit &amp; Loss'!$A$1, MATCH("Convenio Limpieza &amp; Mantenimiento",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C5</f>
        <v>26050.89261</v>
      </c>
      <c r="D11" s="18">
        <f>SUM(OFFSET('Profit &amp; Loss'!$A$1, MATCH("Convenio Limpieza &amp; Mantenimiento",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D5</f>
        <v>27092.92831</v>
      </c>
      <c r="E11" s="18">
        <f>SUM(OFFSET('Profit &amp; Loss'!$A$1, MATCH("Convenio Limpieza &amp; Mantenimiento",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E5</f>
        <v>28264.77509</v>
      </c>
      <c r="F11" s="18">
        <f>SUM(OFFSET('Profit &amp; Loss'!$A$1, MATCH("Convenio Limpieza &amp; Mantenimiento",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F5</f>
        <v>29303.71126</v>
      </c>
      <c r="G11" s="18">
        <f>SUM(OFFSET('Profit &amp; Loss'!$A$1, MATCH("Convenio Limpieza &amp; Mantenimiento",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G5</f>
        <v>28524.14787</v>
      </c>
      <c r="H11" s="18">
        <f>SUM(OFFSET('Profit &amp; Loss'!$A$1, MATCH("Convenio Limpieza &amp; Mantenimiento",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H5</f>
        <v>29665.11379</v>
      </c>
      <c r="I11" s="18">
        <f>SUM(OFFSET('Profit &amp; Loss'!$A$1, MATCH("Convenio Limpieza &amp; Mantenimiento",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I5</f>
        <v>30851.71834</v>
      </c>
      <c r="J11" s="18">
        <f>SUM(OFFSET('Profit &amp; Loss'!$A$1, MATCH("Convenio Limpieza &amp; Mantenimiento",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J5</f>
        <v>32179.63482</v>
      </c>
      <c r="K11" s="18">
        <f>SUM(OFFSET('Profit &amp; Loss'!$A$1, MATCH("Convenio Limpieza &amp; Mantenimiento",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K5</f>
        <v>33369.21855</v>
      </c>
    </row>
    <row r="12">
      <c r="A12" s="9" t="s">
        <v>328</v>
      </c>
      <c r="B12" s="48">
        <f t="shared" ref="B12:K12" si="3">B10-B11</f>
        <v>75185.64434</v>
      </c>
      <c r="C12" s="48">
        <f t="shared" si="3"/>
        <v>77190.76199</v>
      </c>
      <c r="D12" s="48">
        <f t="shared" si="3"/>
        <v>79276.08434</v>
      </c>
      <c r="E12" s="48">
        <f t="shared" si="3"/>
        <v>81623.27268</v>
      </c>
      <c r="F12" s="48">
        <f t="shared" si="3"/>
        <v>83700.30424</v>
      </c>
      <c r="G12" s="48">
        <f t="shared" si="3"/>
        <v>85616.67073</v>
      </c>
      <c r="H12" s="48">
        <f t="shared" si="3"/>
        <v>87899.97227</v>
      </c>
      <c r="I12" s="48">
        <f t="shared" si="3"/>
        <v>90274.60587</v>
      </c>
      <c r="J12" s="48">
        <f t="shared" si="3"/>
        <v>92928.63995</v>
      </c>
      <c r="K12" s="48">
        <f t="shared" si="3"/>
        <v>95312.62851</v>
      </c>
    </row>
    <row r="13">
      <c r="A13" s="9" t="s">
        <v>335</v>
      </c>
      <c r="B13" s="18">
        <f>SUM(OFFSET('Profit &amp; Loss'!$A$1, MATCH("Gastos Operativos", 'Profit &amp; Loss'!$A:$A, 0)-1, (COLUMN()-2)*12 + 3, 1, 12)) / (AVERAGE(OFFSET('Profit &amp; Loss'!$A$1, MATCH("({UO} | AT-AMP-02) - Analisis de Mercado [No. 1 - KIVA]", 'Profit &amp; Loss'!$B:$B, 0), (COLUMN()-2)*12 + 3, 1, 12)) + AVERAGE(OFFSET('Profit &amp; Loss'!$A$1, MATCH("({UO} | AT-AMP-02) - Analisis de Mercado [No. 2 - KIVA]", 'Profit &amp; Loss'!$B:$B, 0), (COLUMN()-2)*12 + 3, 1, 12)))</f>
        <v>33402.67124</v>
      </c>
      <c r="C13" s="18">
        <f>SUM(OFFSET('Profit &amp; Loss'!$A$1, MATCH("Gastos Operativos", 'Profit &amp; Loss'!$A:$A, 0)-1, (COLUMN()-2)*12 + 3, 1, 12)) / (AVERAGE(OFFSET('Profit &amp; Loss'!$A$1, MATCH("({UO} | AT-AMP-02) - Analisis de Mercado [No. 1 - KIVA]", 'Profit &amp; Loss'!$B:$B, 0), (COLUMN()-2)*12 + 3, 1, 12)) + AVERAGE(OFFSET('Profit &amp; Loss'!$A$1, MATCH("({UO} | AT-AMP-02) - Analisis de Mercado [No. 2 - KIVA]", 'Profit &amp; Loss'!$B:$B, 0), (COLUMN()-2)*12 + 3, 1, 12)))</f>
        <v>37116.79204</v>
      </c>
      <c r="D13" s="18">
        <f>SUM(OFFSET('Profit &amp; Loss'!$A$1, MATCH("Gastos Operativos", 'Profit &amp; Loss'!$A:$A, 0)-1, (COLUMN()-2)*12 + 3, 1, 12)) / (AVERAGE(OFFSET('Profit &amp; Loss'!$A$1, MATCH("({UO} | AT-AMP-02) - Analisis de Mercado [No. 1 - KIVA]", 'Profit &amp; Loss'!$B:$B, 0), (COLUMN()-2)*12 + 3, 1, 12)) + AVERAGE(OFFSET('Profit &amp; Loss'!$A$1, MATCH("({UO} | AT-AMP-02) - Analisis de Mercado [No. 2 - KIVA]", 'Profit &amp; Loss'!$B:$B, 0), (COLUMN()-2)*12 + 3, 1, 12)))</f>
        <v>41244.7011</v>
      </c>
      <c r="E13" s="18">
        <f>SUM(OFFSET('Profit &amp; Loss'!$A$1, MATCH("Gastos Operativos", 'Profit &amp; Loss'!$A:$A, 0)-1, (COLUMN()-2)*12 + 3, 1, 12)) / (AVERAGE(OFFSET('Profit &amp; Loss'!$A$1, MATCH("({UO} | AT-AMP-02) - Analisis de Mercado [No. 1 - KIVA]", 'Profit &amp; Loss'!$B:$B, 0), (COLUMN()-2)*12 + 3, 1, 12)) + AVERAGE(OFFSET('Profit &amp; Loss'!$A$1, MATCH("({UO} | AT-AMP-02) - Analisis de Mercado [No. 2 - KIVA]", 'Profit &amp; Loss'!$B:$B, 0), (COLUMN()-2)*12 + 3, 1, 12)))</f>
        <v>45838.99173</v>
      </c>
      <c r="F13" s="18">
        <f>SUM(OFFSET('Profit &amp; Loss'!$A$1, MATCH("Gastos Operativos", 'Profit &amp; Loss'!$A:$A, 0)-1, (COLUMN()-2)*12 + 3, 1, 12)) / (AVERAGE(OFFSET('Profit &amp; Loss'!$A$1, MATCH("({UO} | AT-AMP-02) - Analisis de Mercado [No. 1 - KIVA]", 'Profit &amp; Loss'!$B:$B, 0), (COLUMN()-2)*12 + 3, 1, 12)) + AVERAGE(OFFSET('Profit &amp; Loss'!$A$1, MATCH("({UO} | AT-AMP-02) - Analisis de Mercado [No. 2 - KIVA]", 'Profit &amp; Loss'!$B:$B, 0), (COLUMN()-2)*12 + 3, 1, 12)))</f>
        <v>50940.27616</v>
      </c>
      <c r="G13" s="18">
        <f>SUM(OFFSET('Profit &amp; Loss'!$A$1, MATCH("Gastos Operativos", 'Profit &amp; Loss'!$A:$A, 0)-1, (COLUMN()-7)*12 + 3, 1, 12)) / (AVERAGE(OFFSET('Profit &amp; Loss'!$A$1, MATCH("({UO} | AT-AMP-02) - Analisis de Mercado [No. 1 - KIVA]", 'Profit &amp; Loss'!$B:$B, 0), (COLUMN()-7)*12 + 3, 1, 12)) + AVERAGE(OFFSET('Profit &amp; Loss'!$A$1, MATCH("({UO} | AT-AMP-02) - Analisis de Mercado [No. 2 - KIVA]", 'Profit &amp; Loss'!$B:$B, 0), (COLUMN()-7)*12 + 3, 1, 12)))</f>
        <v>33402.67124</v>
      </c>
      <c r="H13" s="18">
        <f>SUM(OFFSET('Profit &amp; Loss'!$A$1, MATCH("Gastos Operativos", 'Profit &amp; Loss'!$A:$A, 0)-1, (COLUMN()-7)*12 + 3, 1, 12)) / (AVERAGE(OFFSET('Profit &amp; Loss'!$A$1, MATCH("({UO} | AT-AMP-02) - Analisis de Mercado [No. 1 - KIVA]", 'Profit &amp; Loss'!$B:$B, 0), (COLUMN()-7)*12 + 3, 1, 12)) + AVERAGE(OFFSET('Profit &amp; Loss'!$A$1, MATCH("({UO} | AT-AMP-02) - Analisis de Mercado [No. 2 - KIVA]", 'Profit &amp; Loss'!$B:$B, 0), (COLUMN()-7)*12 + 3, 1, 12)))</f>
        <v>37116.79204</v>
      </c>
      <c r="I13" s="18">
        <f>SUM(OFFSET('Profit &amp; Loss'!$A$1, MATCH("Gastos Operativos", 'Profit &amp; Loss'!$A:$A, 0)-1, (COLUMN()-7)*12 + 3, 1, 12)) / (AVERAGE(OFFSET('Profit &amp; Loss'!$A$1, MATCH("({UO} | AT-AMP-02) - Analisis de Mercado [No. 1 - KIVA]", 'Profit &amp; Loss'!$B:$B, 0), (COLUMN()-7)*12 + 3, 1, 12)) + AVERAGE(OFFSET('Profit &amp; Loss'!$A$1, MATCH("({UO} | AT-AMP-02) - Analisis de Mercado [No. 2 - KIVA]", 'Profit &amp; Loss'!$B:$B, 0), (COLUMN()-7)*12 + 3, 1, 12)))</f>
        <v>41244.7011</v>
      </c>
      <c r="J13" s="18">
        <f>SUM(OFFSET('Profit &amp; Loss'!$A$1, MATCH("Gastos Operativos", 'Profit &amp; Loss'!$A:$A, 0)-1, (COLUMN()-7)*12 + 3, 1, 12)) / (AVERAGE(OFFSET('Profit &amp; Loss'!$A$1, MATCH("({UO} | AT-AMP-02) - Analisis de Mercado [No. 1 - KIVA]", 'Profit &amp; Loss'!$B:$B, 0), (COLUMN()-7)*12 + 3, 1, 12)) + AVERAGE(OFFSET('Profit &amp; Loss'!$A$1, MATCH("({UO} | AT-AMP-02) - Analisis de Mercado [No. 2 - KIVA]", 'Profit &amp; Loss'!$B:$B, 0), (COLUMN()-7)*12 + 3, 1, 12)))</f>
        <v>45838.99173</v>
      </c>
      <c r="K13" s="18">
        <f>SUM(OFFSET('Profit &amp; Loss'!$A$1, MATCH("Gastos Operativos", 'Profit &amp; Loss'!$A:$A, 0)-1, (COLUMN()-7)*12 + 3, 1, 12)) / (AVERAGE(OFFSET('Profit &amp; Loss'!$A$1, MATCH("({UO} | AT-AMP-02) - Analisis de Mercado [No. 1 - KIVA]", 'Profit &amp; Loss'!$B:$B, 0), (COLUMN()-7)*12 + 3, 1, 12)) + AVERAGE(OFFSET('Profit &amp; Loss'!$A$1, MATCH("({UO} | AT-AMP-02) - Analisis de Mercado [No. 2 - KIVA]", 'Profit &amp; Loss'!$B:$B, 0), (COLUMN()-7)*12 + 3, 1, 12)))</f>
        <v>50940.27616</v>
      </c>
    </row>
    <row r="14">
      <c r="A14" s="9" t="s">
        <v>401</v>
      </c>
      <c r="B14" s="48">
        <f t="shared" ref="B14:K14" si="4">B12-B13</f>
        <v>41782.9731</v>
      </c>
      <c r="C14" s="48">
        <f t="shared" si="4"/>
        <v>40073.96995</v>
      </c>
      <c r="D14" s="48">
        <f t="shared" si="4"/>
        <v>38031.38324</v>
      </c>
      <c r="E14" s="48">
        <f t="shared" si="4"/>
        <v>35784.28095</v>
      </c>
      <c r="F14" s="48">
        <f t="shared" si="4"/>
        <v>32760.02808</v>
      </c>
      <c r="G14" s="48">
        <f t="shared" si="4"/>
        <v>52213.99949</v>
      </c>
      <c r="H14" s="48">
        <f t="shared" si="4"/>
        <v>50783.18023</v>
      </c>
      <c r="I14" s="48">
        <f t="shared" si="4"/>
        <v>49029.90477</v>
      </c>
      <c r="J14" s="48">
        <f t="shared" si="4"/>
        <v>47089.64821</v>
      </c>
      <c r="K14" s="48">
        <f t="shared" si="4"/>
        <v>44372.35235</v>
      </c>
    </row>
    <row r="15">
      <c r="A15" s="9" t="s">
        <v>402</v>
      </c>
      <c r="B15" s="2">
        <f>B11/(B7*365*(1-PctReparto))</f>
        <v>0.2168095567</v>
      </c>
      <c r="C15" s="2">
        <f>C11/(C7*365*(1-PctReparto))</f>
        <v>0.2168095567</v>
      </c>
      <c r="D15" s="2">
        <f>D11/(D7*365*(1-PctReparto))</f>
        <v>0.2168095567</v>
      </c>
      <c r="E15" s="2">
        <f>E11/(E7*365*(1-PctReparto))</f>
        <v>0.2174455089</v>
      </c>
      <c r="F15" s="2">
        <f>F11/(F7*365*(1-PctReparto))</f>
        <v>0.2168095567</v>
      </c>
      <c r="G15" s="2">
        <f>G11/(G7*365*(1-PctReparto))</f>
        <v>0.2065839745</v>
      </c>
      <c r="H15" s="2">
        <f>H11/(H7*365*(1-PctReparto))</f>
        <v>0.2065839745</v>
      </c>
      <c r="I15" s="2">
        <f>I11/(I7*365*(1-PctReparto))</f>
        <v>0.2065839745</v>
      </c>
      <c r="J15" s="2">
        <f>J11/(J7*365*(1-PctReparto))</f>
        <v>0.207187212</v>
      </c>
      <c r="K15" s="2">
        <f>K11/(K7*365*(1-PctReparto))</f>
        <v>0.2065839745</v>
      </c>
    </row>
    <row r="16">
      <c r="A16" s="9" t="s">
        <v>403</v>
      </c>
      <c r="B16" s="2">
        <f>(B11+B13)/(B7*365*(1-PctReparto))</f>
        <v>0.5059243748</v>
      </c>
      <c r="C16" s="2">
        <f>(C11+C13)/(C7*365*(1-PctReparto))</f>
        <v>0.5257154874</v>
      </c>
      <c r="D16" s="2">
        <f>(D11+D13)/(D7*365*(1-PctReparto))</f>
        <v>0.5468678382</v>
      </c>
      <c r="E16" s="2">
        <f>(E11+E13)/(E7*365*(1-PctReparto))</f>
        <v>0.5700923229</v>
      </c>
      <c r="F16" s="2">
        <f>(F11+F13)/(F7*365*(1-PctReparto))</f>
        <v>0.593701705</v>
      </c>
      <c r="G16" s="2">
        <f>(G11+G13)/(G7*365*(1-PctReparto))</f>
        <v>0.448500284</v>
      </c>
      <c r="H16" s="2">
        <f>(H11+H13)/(H7*365*(1-PctReparto))</f>
        <v>0.4650604623</v>
      </c>
      <c r="I16" s="2">
        <f>(I11+I13)/(I7*365*(1-PctReparto))</f>
        <v>0.4827596542</v>
      </c>
      <c r="J16" s="2">
        <f>(J11+J13)/(J7*365*(1-PctReparto))</f>
        <v>0.5023196133</v>
      </c>
      <c r="K16" s="2">
        <f>(K11+K13)/(K7*365*(1-PctReparto))</f>
        <v>0.5219478089</v>
      </c>
    </row>
    <row r="17">
      <c r="A17" s="9" t="s">
        <v>404</v>
      </c>
      <c r="B17" s="18">
        <f>SUM(OFFSET('Profit &amp; Loss'!$A$1, MATCH("Reparto a Propietarios (Pass-through)",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B5</f>
        <v>200472.9258</v>
      </c>
      <c r="C17" s="18">
        <f>SUM(OFFSET('Profit &amp; Loss'!$A$1, MATCH("Reparto a Propietarios (Pass-through)",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C5</f>
        <v>209494.151</v>
      </c>
      <c r="D17" s="18">
        <f>SUM(OFFSET('Profit &amp; Loss'!$A$1, MATCH("Reparto a Propietarios (Pass-through)",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D5</f>
        <v>218876.2252</v>
      </c>
      <c r="E17" s="18">
        <f>SUM(OFFSET('Profit &amp; Loss'!$A$1, MATCH("Reparto a Propietarios (Pass-through)",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E5</f>
        <v>229424.9785</v>
      </c>
      <c r="F17" s="18">
        <f>SUM(OFFSET('Profit &amp; Loss'!$A$1, MATCH("Reparto a Propietarios (Pass-through)", 'Profit &amp; Loss'!$B:$B, 0)-1, (COLUMN()-2)*12 + 3, 1, 12)) * (SUM(OFFSET('Profit &amp; Loss'!$A$1, MATCH("({UO} | AT-AMP-02) - Analisis de Mercado [No. 1 - KIVA]", 'Profit &amp; Loss'!$B:$B, 0)-1, (COLUMN()-2)*12 + 3, 1, 12)) / SUM(OFFSET('Profit &amp; Loss'!$A$1, MATCH("Venta Total (Despues de Comisiones OTAs + Pasarelas de Pago, IVA e Impuestos)", 'Profit &amp; Loss'!$A:$A, 0)-1, (COLUMN()-2)*12 + 3, 1, 12))) / F5</f>
        <v>238781.2337</v>
      </c>
      <c r="G17" s="18">
        <f>SUM(OFFSET('Profit &amp; Loss'!$A$1, MATCH("Reparto a Propietarios (Pass-through)",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G5</f>
        <v>228285.9266</v>
      </c>
      <c r="H17" s="18">
        <f>SUM(OFFSET('Profit &amp; Loss'!$A$1, MATCH("Reparto a Propietarios (Pass-through)",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H5</f>
        <v>238558.7289</v>
      </c>
      <c r="I17" s="18">
        <f>SUM(OFFSET('Profit &amp; Loss'!$A$1, MATCH("Reparto a Propietarios (Pass-through)",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I5</f>
        <v>249242.4434</v>
      </c>
      <c r="J17" s="18">
        <f>SUM(OFFSET('Profit &amp; Loss'!$A$1, MATCH("Reparto a Propietarios (Pass-through)",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J5</f>
        <v>261201.8671</v>
      </c>
      <c r="K17" s="18">
        <f>SUM(OFFSET('Profit &amp; Loss'!$A$1, MATCH("Reparto a Propietarios (Pass-through)", 'Profit &amp; Loss'!$B:$B, 0)-1, (COLUMN()-7)*12 + 3, 1, 12)) * (SUM(OFFSET('Profit &amp; Loss'!$A$1, MATCH("({UO} | AT-AMP-02) - Analisis de Mercado [No. 2 - KIVA]", 'Profit &amp; Loss'!$B:$B, 0)-1, (COLUMN()-7)*12 + 3, 1, 12)) / SUM(OFFSET('Profit &amp; Loss'!$A$1, MATCH("Venta Total (Despues de Comisiones OTAs + Pasarelas de Pago, IVA e Impuestos)", 'Profit &amp; Loss'!$A:$A, 0)-1, (COLUMN()-7)*12 + 3, 1, 12))) / K5</f>
        <v>271909.0119</v>
      </c>
    </row>
    <row r="18">
      <c r="A18" s="9" t="s">
        <v>416</v>
      </c>
      <c r="B18" s="1" t="str">
        <f>IF(ABS(B8*B5 - SUM(OFFSET('Profit &amp; Loss'!$A$1, MATCH("({UO} | AT-AMP-02) - Analisis de Mercado [No. 1 - KIVA]", 'Profit &amp; Loss'!$B:$B, 0)-1, (COLUMN()-2)*12 + 3, 1, 12))) &lt; 1, "OK", "ERROR")</f>
        <v>OK</v>
      </c>
      <c r="C18" s="1" t="str">
        <f>IF(ABS(C8*C5 - SUM(OFFSET('Profit &amp; Loss'!$A$1, MATCH("({UO} | AT-AMP-02) - Analisis de Mercado [No. 1 - KIVA]", 'Profit &amp; Loss'!$B:$B, 0)-1, (COLUMN()-2)*12 + 3, 1, 12))) &lt; 1, "OK", "ERROR")</f>
        <v>OK</v>
      </c>
      <c r="D18" s="1" t="str">
        <f>IF(ABS(D8*D5 - SUM(OFFSET('Profit &amp; Loss'!$A$1, MATCH("({UO} | AT-AMP-02) - Analisis de Mercado [No. 1 - KIVA]", 'Profit &amp; Loss'!$B:$B, 0)-1, (COLUMN()-2)*12 + 3, 1, 12))) &lt; 1, "OK", "ERROR")</f>
        <v>OK</v>
      </c>
      <c r="E18" s="1" t="str">
        <f>IF(ABS(E8*E5 - SUM(OFFSET('Profit &amp; Loss'!$A$1, MATCH("({UO} | AT-AMP-02) - Analisis de Mercado [No. 1 - KIVA]", 'Profit &amp; Loss'!$B:$B, 0)-1, (COLUMN()-2)*12 + 3, 1, 12))) &lt; 1, "OK", "ERROR")</f>
        <v>OK</v>
      </c>
      <c r="F18" s="1" t="str">
        <f>IF(ABS(F8*F5 - SUM(OFFSET('Profit &amp; Loss'!$A$1, MATCH("({UO} | AT-AMP-02) - Analisis de Mercado [No. 1 - KIVA]", 'Profit &amp; Loss'!$B:$B, 0)-1, (COLUMN()-2)*12 + 3, 1, 12))) &lt; 1, "OK", "ERROR")</f>
        <v>OK</v>
      </c>
      <c r="G18" s="1" t="str">
        <f>IF(ABS(G8*G5 - SUM(OFFSET('Profit &amp; Loss'!$A$1, MATCH("({UO} | AT-AMP-02) - Analisis de Mercado [No. 2 - KIVA]", 'Profit &amp; Loss'!$B:$B, 0)-1, (COLUMN()-7)*12 + 3, 1, 12))) &lt; 1, "OK", "ERROR")</f>
        <v>OK</v>
      </c>
      <c r="H18" s="1" t="str">
        <f>IF(ABS(H8*H5 - SUM(OFFSET('Profit &amp; Loss'!$A$1, MATCH("({UO} | AT-AMP-02) - Analisis de Mercado [No. 2 - KIVA]", 'Profit &amp; Loss'!$B:$B, 0)-1, (COLUMN()-7)*12 + 3, 1, 12))) &lt; 1, "OK", "ERROR")</f>
        <v>OK</v>
      </c>
      <c r="I18" s="1" t="str">
        <f>IF(ABS(I8*I5 - SUM(OFFSET('Profit &amp; Loss'!$A$1, MATCH("({UO} | AT-AMP-02) - Analisis de Mercado [No. 2 - KIVA]", 'Profit &amp; Loss'!$B:$B, 0)-1, (COLUMN()-7)*12 + 3, 1, 12))) &lt; 1, "OK", "ERROR")</f>
        <v>OK</v>
      </c>
      <c r="J18" s="1" t="str">
        <f>IF(ABS(J8*J5 - SUM(OFFSET('Profit &amp; Loss'!$A$1, MATCH("({UO} | AT-AMP-02) - Analisis de Mercado [No. 2 - KIVA]", 'Profit &amp; Loss'!$B:$B, 0)-1, (COLUMN()-7)*12 + 3, 1, 12))) &lt; 1, "OK", "ERROR")</f>
        <v>OK</v>
      </c>
      <c r="K18" s="1" t="str">
        <f>IF(ABS(K8*K5 - SUM(OFFSET('Profit &amp; Loss'!$A$1, MATCH("({UO} | AT-AMP-02) - Analisis de Mercado [No. 2 - KIVA]", 'Profit &amp; Loss'!$B:$B, 0)-1, (COLUMN()-7)*12 + 3, 1, 12))) &lt; 1, "OK", "ERROR")</f>
        <v>OK</v>
      </c>
    </row>
    <row r="20">
      <c r="A20" s="8" t="s">
        <v>488</v>
      </c>
    </row>
    <row r="21">
      <c r="A21" s="9" t="s">
        <v>489</v>
      </c>
      <c r="B21" s="18">
        <f>'Paso 5 Resumen Desglose de Inve'!$D$77 / 'Paso 5 Resumen Desglose de Inve'!$B$7</f>
        <v>80755.81492</v>
      </c>
      <c r="C21" s="18">
        <f>'Paso 5 Resumen Desglose de Inve'!$D$77 / 'Paso 5 Resumen Desglose de Inve'!$B$7</f>
        <v>80755.81492</v>
      </c>
      <c r="D21" s="18">
        <f>'Paso 5 Resumen Desglose de Inve'!$D$77 / 'Paso 5 Resumen Desglose de Inve'!$B$7</f>
        <v>80755.81492</v>
      </c>
      <c r="E21" s="18">
        <f>'Paso 5 Resumen Desglose de Inve'!$D$77 / 'Paso 5 Resumen Desglose de Inve'!$B$7</f>
        <v>80755.81492</v>
      </c>
      <c r="F21" s="18">
        <f>'Paso 5 Resumen Desglose de Inve'!$D$77 / 'Paso 5 Resumen Desglose de Inve'!$B$7</f>
        <v>80755.81492</v>
      </c>
      <c r="G21" s="18">
        <f>'Paso 5 Resumen Desglose de Inve'!$D$77 / 'Paso 5 Resumen Desglose de Inve'!$B$7</f>
        <v>80755.81492</v>
      </c>
      <c r="H21" s="18">
        <f>'Paso 5 Resumen Desglose de Inve'!$D$77 / 'Paso 5 Resumen Desglose de Inve'!$B$7</f>
        <v>80755.81492</v>
      </c>
      <c r="I21" s="18">
        <f>'Paso 5 Resumen Desglose de Inve'!$D$77 / 'Paso 5 Resumen Desglose de Inve'!$B$7</f>
        <v>80755.81492</v>
      </c>
      <c r="J21" s="18">
        <f>'Paso 5 Resumen Desglose de Inve'!$D$77 / 'Paso 5 Resumen Desglose de Inve'!$B$7</f>
        <v>80755.81492</v>
      </c>
      <c r="K21" s="18">
        <f>'Paso 5 Resumen Desglose de Inve'!$D$77 / 'Paso 5 Resumen Desglose de Inve'!$B$7</f>
        <v>80755.81492</v>
      </c>
    </row>
    <row r="22">
      <c r="A22" s="9" t="s">
        <v>500</v>
      </c>
      <c r="B22" s="157">
        <f t="shared" ref="B22:K22" si="5">B21 / (B14 / 12)</f>
        <v>23.192935</v>
      </c>
      <c r="C22" s="157">
        <f t="shared" si="5"/>
        <v>24.1820259</v>
      </c>
      <c r="D22" s="157">
        <f t="shared" si="5"/>
        <v>25.48079235</v>
      </c>
      <c r="E22" s="157">
        <f t="shared" si="5"/>
        <v>27.08087891</v>
      </c>
      <c r="F22" s="157">
        <f t="shared" si="5"/>
        <v>29.58085923</v>
      </c>
      <c r="G22" s="157">
        <f t="shared" si="5"/>
        <v>18.55957767</v>
      </c>
      <c r="H22" s="157">
        <f t="shared" si="5"/>
        <v>19.08249493</v>
      </c>
      <c r="I22" s="157">
        <f t="shared" si="5"/>
        <v>19.76487174</v>
      </c>
      <c r="J22" s="157">
        <f t="shared" si="5"/>
        <v>20.57925289</v>
      </c>
      <c r="K22" s="157">
        <f t="shared" si="5"/>
        <v>21.83949527</v>
      </c>
    </row>
    <row r="23">
      <c r="A23" s="9" t="s">
        <v>505</v>
      </c>
      <c r="B23" s="1" t="str">
        <f>IF(ABS(B21 * 'Paso 5 Resumen Desglose de Inve'!$B$7 - 'Paso 5 Resumen Desglose de Inve'!$D$77) &lt; 1, "OK", "ERROR")</f>
        <v>OK</v>
      </c>
      <c r="C23" s="1" t="str">
        <f>IF(ABS(C21 * 'Paso 5 Resumen Desglose de Inve'!$B$7 - 'Paso 5 Resumen Desglose de Inve'!$D$77) &lt; 1, "OK", "ERROR")</f>
        <v>OK</v>
      </c>
      <c r="D23" s="1" t="str">
        <f>IF(ABS(D21 * 'Paso 5 Resumen Desglose de Inve'!$B$7 - 'Paso 5 Resumen Desglose de Inve'!$D$77) &lt; 1, "OK", "ERROR")</f>
        <v>OK</v>
      </c>
      <c r="E23" s="1" t="str">
        <f>IF(ABS(E21 * 'Paso 5 Resumen Desglose de Inve'!$B$7 - 'Paso 5 Resumen Desglose de Inve'!$D$77) &lt; 1, "OK", "ERROR")</f>
        <v>OK</v>
      </c>
      <c r="F23" s="1" t="str">
        <f>IF(ABS(F21 * 'Paso 5 Resumen Desglose de Inve'!$B$7 - 'Paso 5 Resumen Desglose de Inve'!$D$77) &lt; 1, "OK", "ERROR")</f>
        <v>OK</v>
      </c>
      <c r="G23" s="1" t="str">
        <f>IF(ABS(G21 * 'Paso 5 Resumen Desglose de Inve'!$B$7 - 'Paso 5 Resumen Desglose de Inve'!$D$77) &lt; 1, "OK", "ERROR")</f>
        <v>OK</v>
      </c>
      <c r="H23" s="1" t="str">
        <f>IF(ABS(H21 * 'Paso 5 Resumen Desglose de Inve'!$B$7 - 'Paso 5 Resumen Desglose de Inve'!$D$77) &lt; 1, "OK", "ERROR")</f>
        <v>OK</v>
      </c>
      <c r="I23" s="1" t="str">
        <f>IF(ABS(I21 * 'Paso 5 Resumen Desglose de Inve'!$B$7 - 'Paso 5 Resumen Desglose de Inve'!$D$77) &lt; 1, "OK", "ERROR")</f>
        <v>OK</v>
      </c>
      <c r="J23" s="1" t="str">
        <f>IF(ABS(J21 * 'Paso 5 Resumen Desglose de Inve'!$B$7 - 'Paso 5 Resumen Desglose de Inve'!$D$77) &lt; 1, "OK", "ERROR")</f>
        <v>OK</v>
      </c>
      <c r="K23" s="1" t="str">
        <f>IF(ABS(K21 * 'Paso 5 Resumen Desglose de Inve'!$B$7 - 'Paso 5 Resumen Desglose de Inve'!$D$77) &lt; 1, "OK", "ERROR")</f>
        <v>OK</v>
      </c>
    </row>
    <row r="25">
      <c r="A25" s="8"/>
    </row>
    <row r="26">
      <c r="A26" s="163" t="s">
        <v>530</v>
      </c>
      <c r="B26" s="163"/>
      <c r="C26" s="163"/>
      <c r="D26" s="163"/>
      <c r="E26" s="163"/>
      <c r="F26" s="163"/>
      <c r="G26" s="163"/>
    </row>
    <row r="27">
      <c r="A27" s="166" t="s">
        <v>7</v>
      </c>
      <c r="B27" s="167" t="s">
        <v>531</v>
      </c>
      <c r="C27" s="167" t="s">
        <v>532</v>
      </c>
      <c r="D27" s="167" t="s">
        <v>533</v>
      </c>
      <c r="E27" s="167" t="s">
        <v>534</v>
      </c>
      <c r="F27" s="167" t="s">
        <v>535</v>
      </c>
      <c r="G27" s="167" t="s">
        <v>536</v>
      </c>
    </row>
    <row r="28">
      <c r="A28" s="169" t="s">
        <v>219</v>
      </c>
      <c r="B28" s="48">
        <f t="shared" ref="B28:B30" si="6">B8</f>
        <v>300707.5054</v>
      </c>
      <c r="C28" s="48">
        <f t="shared" ref="C28:C30" si="7">D8</f>
        <v>325245.2378</v>
      </c>
      <c r="D28" s="48">
        <f t="shared" ref="D28:D30" si="8">G8</f>
        <v>342426.7452</v>
      </c>
      <c r="E28" s="48">
        <f t="shared" ref="E28:E30" si="9">I8</f>
        <v>370368.7676</v>
      </c>
      <c r="F28" s="48">
        <f>(B8*B5 + G8*G5)/(B5+G5)</f>
        <v>316600.5491</v>
      </c>
      <c r="G28" s="48">
        <f>(D8*D5 + I8*I5)/(D5+I5)</f>
        <v>342435.1539</v>
      </c>
    </row>
    <row r="29">
      <c r="A29" s="169" t="s">
        <v>223</v>
      </c>
      <c r="B29" s="48">
        <f t="shared" si="6"/>
        <v>200472.9258</v>
      </c>
      <c r="C29" s="48">
        <f t="shared" si="7"/>
        <v>218876.2252</v>
      </c>
      <c r="D29" s="48">
        <f t="shared" si="8"/>
        <v>228285.9266</v>
      </c>
      <c r="E29" s="48">
        <f t="shared" si="9"/>
        <v>249242.4434</v>
      </c>
      <c r="F29" s="48">
        <f>(B9*B5 + G9*G5)/(B5+G5)</f>
        <v>211068.3547</v>
      </c>
      <c r="G29" s="48">
        <f>(D9*D5 + I9*I5)/(D5+I5)</f>
        <v>230444.3083</v>
      </c>
    </row>
    <row r="30">
      <c r="A30" s="169" t="s">
        <v>225</v>
      </c>
      <c r="B30" s="48">
        <f t="shared" si="6"/>
        <v>100234.5795</v>
      </c>
      <c r="C30" s="48">
        <f t="shared" si="7"/>
        <v>106369.0126</v>
      </c>
      <c r="D30" s="48">
        <f t="shared" si="8"/>
        <v>114140.8186</v>
      </c>
      <c r="E30" s="48">
        <f t="shared" si="9"/>
        <v>121126.3242</v>
      </c>
      <c r="F30" s="48">
        <f>(B10*B5 + G10*G5)/(B5+G5)</f>
        <v>105532.1944</v>
      </c>
      <c r="G30" s="48">
        <f>(D10*D5 + I10*I5)/(D5+I5)</f>
        <v>111990.8456</v>
      </c>
    </row>
    <row r="31">
      <c r="A31" s="169" t="s">
        <v>328</v>
      </c>
      <c r="B31" s="48">
        <f>B12</f>
        <v>75185.64434</v>
      </c>
      <c r="C31" s="48">
        <f>D12</f>
        <v>79276.08434</v>
      </c>
      <c r="D31" s="48">
        <f>G12</f>
        <v>85616.67073</v>
      </c>
      <c r="E31" s="48">
        <f>I12</f>
        <v>90274.60587</v>
      </c>
      <c r="F31" s="48">
        <f>(B12*B5 + G12*G5)/(B5+G5)</f>
        <v>79159.36868</v>
      </c>
      <c r="G31" s="48">
        <f>(D12*D5 + I12*I5)/(D5+I5)</f>
        <v>83465.9973</v>
      </c>
    </row>
    <row r="32">
      <c r="A32" s="169" t="s">
        <v>401</v>
      </c>
      <c r="B32" s="48">
        <f>B14</f>
        <v>41782.9731</v>
      </c>
      <c r="C32" s="48">
        <f>D14</f>
        <v>38031.38324</v>
      </c>
      <c r="D32" s="48">
        <f>G14</f>
        <v>52213.99949</v>
      </c>
      <c r="E32" s="48">
        <f>I14</f>
        <v>49029.90477</v>
      </c>
      <c r="F32" s="48">
        <f>(B14*B5 + G14*G5)/(B5+G5)</f>
        <v>45756.69744</v>
      </c>
      <c r="G32" s="48">
        <f>(D14*D5 + I14*I5)/(D5+I5)</f>
        <v>42221.2962</v>
      </c>
    </row>
    <row r="33">
      <c r="A33" s="169" t="s">
        <v>553</v>
      </c>
      <c r="B33" s="2">
        <f t="shared" ref="B33:G33" si="10">B32/B30</f>
        <v>0.4168518818</v>
      </c>
      <c r="C33" s="2">
        <f t="shared" si="10"/>
        <v>0.357541941</v>
      </c>
      <c r="D33" s="2">
        <f t="shared" si="10"/>
        <v>0.4574524708</v>
      </c>
      <c r="E33" s="2">
        <f t="shared" si="10"/>
        <v>0.4047832301</v>
      </c>
      <c r="F33" s="2">
        <f t="shared" si="10"/>
        <v>0.4335804604</v>
      </c>
      <c r="G33" s="2">
        <f t="shared" si="10"/>
        <v>0.3770066738</v>
      </c>
    </row>
    <row r="34">
      <c r="A34" s="169" t="s">
        <v>554</v>
      </c>
      <c r="B34" s="2">
        <f>B16</f>
        <v>0.5059243748</v>
      </c>
      <c r="C34" s="2">
        <f>D16</f>
        <v>0.5468678382</v>
      </c>
      <c r="D34" s="2">
        <f>G16</f>
        <v>0.448500284</v>
      </c>
      <c r="E34" s="2">
        <f>I16</f>
        <v>0.4827596542</v>
      </c>
      <c r="F34" s="2">
        <f>(B16*B5 + G16*G5)/(B5+G5)</f>
        <v>0.4840485307</v>
      </c>
      <c r="G34" s="2">
        <f>(D16*D5 + I16*I5)/(D5+I5)</f>
        <v>0.5224456729</v>
      </c>
    </row>
    <row r="35">
      <c r="A35" s="169" t="s">
        <v>500</v>
      </c>
      <c r="B35" s="157">
        <f>B22</f>
        <v>23.192935</v>
      </c>
      <c r="C35" s="157">
        <f>D22</f>
        <v>25.48079235</v>
      </c>
      <c r="D35" s="157">
        <f>G22</f>
        <v>18.55957767</v>
      </c>
      <c r="E35" s="157">
        <f>I22</f>
        <v>19.76487174</v>
      </c>
      <c r="F35" s="157">
        <f>(B22*B5 + G22*G5)/(B5+G5)</f>
        <v>21.42784649</v>
      </c>
      <c r="G35" s="157">
        <f>(D22*D5 + I22*I5)/(D5+I5)</f>
        <v>23.30329878</v>
      </c>
    </row>
    <row r="36">
      <c r="A36" s="169"/>
      <c r="B36" s="39"/>
      <c r="C36" s="39"/>
      <c r="D36" s="39"/>
      <c r="E36" s="39"/>
    </row>
    <row r="37">
      <c r="A37" s="169" t="s">
        <v>556</v>
      </c>
      <c r="B37" s="23"/>
      <c r="C37" s="23"/>
      <c r="D37" s="23"/>
      <c r="E37" s="23"/>
    </row>
    <row r="38">
      <c r="A38" s="169" t="s">
        <v>7</v>
      </c>
      <c r="B38" s="187" t="s">
        <v>531</v>
      </c>
      <c r="C38" s="187" t="s">
        <v>532</v>
      </c>
      <c r="D38" s="187" t="s">
        <v>533</v>
      </c>
      <c r="E38" s="187" t="s">
        <v>534</v>
      </c>
    </row>
    <row r="39">
      <c r="A39" s="169" t="s">
        <v>219</v>
      </c>
      <c r="B39" s="48">
        <f t="shared" ref="B39:B45" si="11">B8</f>
        <v>300707.5054</v>
      </c>
      <c r="C39" s="48">
        <f t="shared" ref="C39:C45" si="12">D8</f>
        <v>325245.2378</v>
      </c>
      <c r="D39" s="48">
        <f t="shared" ref="D39:D45" si="13">G8</f>
        <v>342426.7452</v>
      </c>
      <c r="E39" s="48">
        <f t="shared" ref="E39:E45" si="14">I8</f>
        <v>370368.7676</v>
      </c>
    </row>
    <row r="40">
      <c r="A40" s="169" t="s">
        <v>223</v>
      </c>
      <c r="B40" s="48">
        <f t="shared" si="11"/>
        <v>200472.9258</v>
      </c>
      <c r="C40" s="48">
        <f t="shared" si="12"/>
        <v>218876.2252</v>
      </c>
      <c r="D40" s="48">
        <f t="shared" si="13"/>
        <v>228285.9266</v>
      </c>
      <c r="E40" s="48">
        <f t="shared" si="14"/>
        <v>249242.4434</v>
      </c>
    </row>
    <row r="41">
      <c r="A41" s="169" t="s">
        <v>225</v>
      </c>
      <c r="B41" s="48">
        <f t="shared" si="11"/>
        <v>100234.5795</v>
      </c>
      <c r="C41" s="48">
        <f t="shared" si="12"/>
        <v>106369.0126</v>
      </c>
      <c r="D41" s="48">
        <f t="shared" si="13"/>
        <v>114140.8186</v>
      </c>
      <c r="E41" s="48">
        <f t="shared" si="14"/>
        <v>121126.3242</v>
      </c>
    </row>
    <row r="42">
      <c r="A42" s="169" t="s">
        <v>558</v>
      </c>
      <c r="B42" s="48">
        <f t="shared" si="11"/>
        <v>25048.9352</v>
      </c>
      <c r="C42" s="48">
        <f t="shared" si="12"/>
        <v>27092.92831</v>
      </c>
      <c r="D42" s="48">
        <f t="shared" si="13"/>
        <v>28524.14787</v>
      </c>
      <c r="E42" s="48">
        <f t="shared" si="14"/>
        <v>30851.71834</v>
      </c>
    </row>
    <row r="43">
      <c r="A43" s="169" t="s">
        <v>328</v>
      </c>
      <c r="B43" s="48">
        <f t="shared" si="11"/>
        <v>75185.64434</v>
      </c>
      <c r="C43" s="48">
        <f t="shared" si="12"/>
        <v>79276.08434</v>
      </c>
      <c r="D43" s="48">
        <f t="shared" si="13"/>
        <v>85616.67073</v>
      </c>
      <c r="E43" s="48">
        <f t="shared" si="14"/>
        <v>90274.60587</v>
      </c>
    </row>
    <row r="44">
      <c r="A44" s="169" t="s">
        <v>559</v>
      </c>
      <c r="B44" s="48">
        <f t="shared" si="11"/>
        <v>33402.67124</v>
      </c>
      <c r="C44" s="48">
        <f t="shared" si="12"/>
        <v>41244.7011</v>
      </c>
      <c r="D44" s="48">
        <f t="shared" si="13"/>
        <v>33402.67124</v>
      </c>
      <c r="E44" s="48">
        <f t="shared" si="14"/>
        <v>41244.7011</v>
      </c>
    </row>
    <row r="45">
      <c r="A45" s="169" t="s">
        <v>401</v>
      </c>
      <c r="B45" s="48">
        <f t="shared" si="11"/>
        <v>41782.9731</v>
      </c>
      <c r="C45" s="48">
        <f t="shared" si="12"/>
        <v>38031.38324</v>
      </c>
      <c r="D45" s="48">
        <f t="shared" si="13"/>
        <v>52213.99949</v>
      </c>
      <c r="E45" s="48">
        <f t="shared" si="14"/>
        <v>49029.90477</v>
      </c>
    </row>
    <row r="46">
      <c r="A46" s="169" t="s">
        <v>489</v>
      </c>
      <c r="B46" s="48">
        <f t="shared" ref="B46:B47" si="15">B21</f>
        <v>80755.81492</v>
      </c>
      <c r="C46" s="48">
        <f t="shared" ref="C46:C47" si="16">D21</f>
        <v>80755.81492</v>
      </c>
      <c r="D46" s="48">
        <f t="shared" ref="D46:D47" si="17">G21</f>
        <v>80755.81492</v>
      </c>
      <c r="E46" s="48">
        <f t="shared" ref="E46:E47" si="18">I21</f>
        <v>80755.81492</v>
      </c>
    </row>
    <row r="47">
      <c r="A47" s="169" t="s">
        <v>500</v>
      </c>
      <c r="B47" s="157">
        <f t="shared" si="15"/>
        <v>23.192935</v>
      </c>
      <c r="C47" s="157">
        <f t="shared" si="16"/>
        <v>25.48079235</v>
      </c>
      <c r="D47" s="157">
        <f t="shared" si="17"/>
        <v>18.55957767</v>
      </c>
      <c r="E47" s="157">
        <f t="shared" si="18"/>
        <v>19.76487174</v>
      </c>
    </row>
  </sheetData>
  <mergeCells count="2">
    <mergeCell ref="B2:F2"/>
    <mergeCell ref="G2:K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93.88"/>
    <col customWidth="1" min="2" max="2" width="15.13"/>
    <col customWidth="1" min="3" max="4" width="9.75"/>
    <col customWidth="1" min="5" max="5" width="11.38"/>
    <col customWidth="1" min="6" max="6" width="13.5"/>
    <col customWidth="1" min="7" max="7" width="12.13"/>
    <col customWidth="1" min="8" max="8" width="76.13"/>
    <col customWidth="1" min="9" max="9" width="12.0"/>
  </cols>
  <sheetData>
    <row r="1">
      <c r="A1" s="23" t="s">
        <v>46</v>
      </c>
    </row>
    <row r="3">
      <c r="A3" s="9" t="s">
        <v>47</v>
      </c>
      <c r="B3" s="14">
        <v>2.0</v>
      </c>
    </row>
    <row r="4">
      <c r="A4" s="9" t="s">
        <v>48</v>
      </c>
      <c r="B4" s="1" t="str">
        <f t="array" ref="B4">INDEX($C$36:$G$36,1,EscenarioStress)</f>
        <v>Bear</v>
      </c>
    </row>
    <row r="5">
      <c r="A5" s="9" t="s">
        <v>49</v>
      </c>
      <c r="B5" s="14" t="s">
        <v>50</v>
      </c>
    </row>
    <row r="6">
      <c r="A6" s="9" t="s">
        <v>51</v>
      </c>
      <c r="B6" s="24">
        <f>TODAY()</f>
        <v>46302</v>
      </c>
    </row>
    <row r="7">
      <c r="A7" s="9" t="s">
        <v>52</v>
      </c>
      <c r="B7" s="14">
        <v>1.0</v>
      </c>
    </row>
    <row r="9">
      <c r="A9" s="23" t="s">
        <v>53</v>
      </c>
    </row>
    <row r="10">
      <c r="A10" s="9" t="s">
        <v>54</v>
      </c>
    </row>
    <row r="11">
      <c r="A11" s="9" t="s">
        <v>55</v>
      </c>
    </row>
    <row r="12">
      <c r="A12" s="9" t="s">
        <v>56</v>
      </c>
    </row>
    <row r="13">
      <c r="A13" s="1" t="str">
        <f>IF(ModoStress="ON","⚠ MODO STRESS ACTIVO — el P&amp;L, el Flujo y la Valuación están mostrando el escenario "&amp;B4&amp;", NO el caso base.","Modelo en caso base.")</f>
        <v>Modelo en caso base.</v>
      </c>
    </row>
    <row r="15">
      <c r="A15" s="23" t="s">
        <v>57</v>
      </c>
    </row>
    <row r="16">
      <c r="A16" s="23" t="s">
        <v>23</v>
      </c>
      <c r="B16" s="23" t="s">
        <v>58</v>
      </c>
      <c r="C16" s="23" t="s">
        <v>59</v>
      </c>
      <c r="D16" s="23" t="s">
        <v>60</v>
      </c>
      <c r="E16" s="23" t="s">
        <v>62</v>
      </c>
      <c r="F16" s="23" t="s">
        <v>63</v>
      </c>
      <c r="G16" s="23" t="s">
        <v>64</v>
      </c>
    </row>
    <row r="17">
      <c r="A17" s="9" t="s">
        <v>66</v>
      </c>
      <c r="B17" s="9" t="s">
        <v>67</v>
      </c>
      <c r="C17" s="2">
        <f>Supuestos!B16</f>
        <v>0.02</v>
      </c>
      <c r="E17" s="2">
        <f t="array" ref="E17">IF(ModoStress="OFF", C17, INDEX($C37:$G37,1,EscenarioStress))</f>
        <v>0.02</v>
      </c>
      <c r="F17" s="9" t="s">
        <v>69</v>
      </c>
    </row>
    <row r="18">
      <c r="A18" s="9" t="s">
        <v>70</v>
      </c>
      <c r="B18" s="9" t="s">
        <v>71</v>
      </c>
      <c r="C18" s="9">
        <v>1.0</v>
      </c>
      <c r="E18" s="1">
        <f t="array" ref="E18">IF(ModoStress="OFF", C18, INDEX($C38:$G38,1,EscenarioStress))</f>
        <v>1</v>
      </c>
      <c r="F18" s="9" t="s">
        <v>72</v>
      </c>
    </row>
    <row r="19">
      <c r="A19" s="9" t="s">
        <v>30</v>
      </c>
      <c r="B19" s="9" t="s">
        <v>73</v>
      </c>
      <c r="C19" s="1">
        <f>Supuestos!B17</f>
        <v>24</v>
      </c>
      <c r="E19" s="1">
        <f t="array" ref="E19">IF(ModoStress="OFF", C19, INDEX($C39:$G39,1,EscenarioStress))</f>
        <v>24</v>
      </c>
      <c r="F19" s="9" t="s">
        <v>74</v>
      </c>
    </row>
    <row r="20">
      <c r="A20" s="9" t="s">
        <v>75</v>
      </c>
      <c r="B20" s="9" t="s">
        <v>76</v>
      </c>
      <c r="C20" s="2">
        <f>ChurnBruto</f>
        <v>0.06</v>
      </c>
      <c r="E20" s="2">
        <f t="array" ref="E20">IF(ModoStress="OFF", C20, INDEX($C40:$G40,1,EscenarioStress))</f>
        <v>0.06</v>
      </c>
      <c r="F20" s="9" t="s">
        <v>77</v>
      </c>
    </row>
    <row r="21">
      <c r="A21" s="9" t="s">
        <v>34</v>
      </c>
      <c r="B21" s="9" t="s">
        <v>78</v>
      </c>
      <c r="C21" s="2">
        <f>TasaReposicion</f>
        <v>0.6</v>
      </c>
      <c r="E21" s="2">
        <f t="array" ref="E21">IF(ModoStress="OFF", C21, INDEX($C41:$G41,1,EscenarioStress))</f>
        <v>0.6</v>
      </c>
      <c r="F21" s="9" t="s">
        <v>79</v>
      </c>
    </row>
    <row r="22">
      <c r="A22" s="9" t="s">
        <v>44</v>
      </c>
      <c r="B22" s="9" t="s">
        <v>80</v>
      </c>
      <c r="C22" s="1">
        <f>LagReposicion</f>
        <v>3</v>
      </c>
      <c r="E22" s="1">
        <f t="array" ref="E22">IF(ModoStress="OFF", C22, INDEX($C42:$G42,1,EscenarioStress))</f>
        <v>3</v>
      </c>
      <c r="F22" s="9" t="s">
        <v>81</v>
      </c>
    </row>
    <row r="23">
      <c r="A23" s="9" t="s">
        <v>82</v>
      </c>
      <c r="B23" s="9" t="s">
        <v>83</v>
      </c>
      <c r="C23" s="32">
        <f>Supuestos!B3</f>
        <v>0.75</v>
      </c>
      <c r="E23" s="32">
        <f t="array" ref="E23">IF(ModoStress="OFF", C23, INDEX($C43:$G43,1,EscenarioStress))</f>
        <v>0.75</v>
      </c>
      <c r="F23" s="9" t="s">
        <v>84</v>
      </c>
    </row>
    <row r="24">
      <c r="A24" s="9" t="s">
        <v>85</v>
      </c>
      <c r="B24" s="9" t="s">
        <v>86</v>
      </c>
      <c r="C24" s="1">
        <f>Supuestos!B4</f>
        <v>1785</v>
      </c>
      <c r="E24" s="1">
        <f t="array" ref="E24">IF(ModoStress="OFF", C24, INDEX($C44:$G44,1,EscenarioStress))</f>
        <v>1785</v>
      </c>
      <c r="F24" s="9" t="s">
        <v>87</v>
      </c>
    </row>
    <row r="25">
      <c r="A25" s="9" t="s">
        <v>88</v>
      </c>
      <c r="B25" s="9" t="s">
        <v>89</v>
      </c>
      <c r="C25" s="2">
        <f>Supuestos!B2</f>
        <v>0.0833</v>
      </c>
      <c r="E25" s="2">
        <f t="array" ref="E25">IF(ModoStress="OFF", C25, INDEX($C45:$G45,1,EscenarioStress))</f>
        <v>0.0833</v>
      </c>
      <c r="F25" s="9" t="s">
        <v>90</v>
      </c>
    </row>
    <row r="26">
      <c r="A26" s="9" t="s">
        <v>91</v>
      </c>
      <c r="B26" s="9" t="s">
        <v>92</v>
      </c>
      <c r="C26" s="7">
        <f>Supuestos!B6</f>
        <v>0.045</v>
      </c>
      <c r="E26" s="7">
        <f t="array" ref="E26">IF(ModoStress="OFF", C26, INDEX($C46:$G46,1,EscenarioStress))</f>
        <v>0.045</v>
      </c>
      <c r="F26" s="9" t="s">
        <v>93</v>
      </c>
    </row>
    <row r="27">
      <c r="A27" s="9" t="s">
        <v>94</v>
      </c>
      <c r="B27" s="9" t="s">
        <v>95</v>
      </c>
      <c r="C27" s="1">
        <f>Supuestos!B9</f>
        <v>1</v>
      </c>
      <c r="E27" s="1">
        <f t="array" ref="E27">IF(ModoStress="OFF", C27, INDEX($C47:$G47,1,EscenarioStress))</f>
        <v>1</v>
      </c>
      <c r="F27" s="9" t="s">
        <v>96</v>
      </c>
    </row>
    <row r="28">
      <c r="A28" s="9" t="s">
        <v>97</v>
      </c>
      <c r="B28" s="9" t="s">
        <v>98</v>
      </c>
      <c r="C28" s="1">
        <f>'Valuación Contrato Bravante'!B30</f>
        <v>0.02</v>
      </c>
      <c r="E28" s="1">
        <f t="array" ref="E28">IF(ModoStress="OFF", C28, INDEX($C48:$G48,1,EscenarioStress))</f>
        <v>0.02</v>
      </c>
      <c r="F28" s="9" t="s">
        <v>99</v>
      </c>
    </row>
    <row r="29">
      <c r="A29" s="9" t="s">
        <v>100</v>
      </c>
      <c r="B29" s="9" t="s">
        <v>101</v>
      </c>
      <c r="C29" s="34">
        <v>0.0</v>
      </c>
      <c r="E29" s="1">
        <f t="array" ref="E29">IF(ModoStress="OFF", C29, INDEX($C49:$G49,1,EscenarioStress))</f>
        <v>0</v>
      </c>
      <c r="F29" s="9" t="s">
        <v>102</v>
      </c>
    </row>
    <row r="30">
      <c r="A30" s="9" t="s">
        <v>103</v>
      </c>
      <c r="B30" s="9" t="s">
        <v>104</v>
      </c>
      <c r="C30" s="35">
        <f>'Valuación Contrato Bravante'!B18</f>
        <v>0.2138</v>
      </c>
      <c r="E30" s="35">
        <f t="array" ref="E30">IF(ModoStress="OFF", C30, INDEX($C50:$G50,1,EscenarioStress))</f>
        <v>0.2138</v>
      </c>
      <c r="F30" s="9" t="s">
        <v>105</v>
      </c>
    </row>
    <row r="32">
      <c r="A32" s="9" t="s">
        <v>107</v>
      </c>
      <c r="E32" s="38">
        <f>((1-ChurnStress)*(1-ReposicionStress))/(1-ChurnBruto)</f>
        <v>0.4</v>
      </c>
      <c r="F32" s="9" t="s">
        <v>108</v>
      </c>
    </row>
    <row r="33">
      <c r="A33" s="9" t="s">
        <v>109</v>
      </c>
      <c r="E33" s="1">
        <f>FactorNomina*(1+InflacionStress)/(1+InflacionAnual)</f>
        <v>1</v>
      </c>
      <c r="F33" s="9" t="s">
        <v>110</v>
      </c>
    </row>
    <row r="35">
      <c r="A35" s="23" t="s">
        <v>111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23" t="s">
        <v>23</v>
      </c>
      <c r="B36" s="23" t="s">
        <v>112</v>
      </c>
      <c r="C36" s="23" t="s">
        <v>25</v>
      </c>
      <c r="D36" s="23" t="s">
        <v>24</v>
      </c>
      <c r="E36" s="23" t="s">
        <v>26</v>
      </c>
      <c r="F36" s="23" t="s">
        <v>114</v>
      </c>
      <c r="G36" s="23" t="s">
        <v>115</v>
      </c>
      <c r="H36" s="23" t="s">
        <v>64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9" t="s">
        <v>116</v>
      </c>
      <c r="C37" s="41">
        <v>1.0</v>
      </c>
      <c r="D37" s="41">
        <v>0.96</v>
      </c>
      <c r="E37" s="41">
        <v>1.04</v>
      </c>
      <c r="F37" s="41">
        <v>0.92</v>
      </c>
      <c r="G37" s="41">
        <v>0.7</v>
      </c>
      <c r="H37" s="42" t="s">
        <v>117</v>
      </c>
    </row>
    <row r="38">
      <c r="A38" s="9" t="s">
        <v>118</v>
      </c>
      <c r="C38" s="41">
        <v>1.0</v>
      </c>
      <c r="D38" s="41">
        <v>0.95</v>
      </c>
      <c r="E38" s="41">
        <v>1.03</v>
      </c>
      <c r="F38" s="41">
        <v>0.93</v>
      </c>
      <c r="G38" s="41">
        <v>0.65</v>
      </c>
      <c r="H38" s="42" t="s">
        <v>119</v>
      </c>
    </row>
    <row r="39">
      <c r="A39" s="9" t="s">
        <v>30</v>
      </c>
      <c r="C39" s="9">
        <v>18.0</v>
      </c>
      <c r="D39" s="9">
        <v>24.0</v>
      </c>
      <c r="E39" s="9">
        <v>12.0</v>
      </c>
      <c r="F39" s="9">
        <v>30.0</v>
      </c>
      <c r="G39" s="9">
        <v>36.0</v>
      </c>
      <c r="H39" s="42" t="s">
        <v>121</v>
      </c>
    </row>
    <row r="40">
      <c r="A40" s="9" t="s">
        <v>75</v>
      </c>
      <c r="C40" s="43">
        <v>0.06</v>
      </c>
      <c r="D40" s="43">
        <v>0.1</v>
      </c>
      <c r="E40" s="43">
        <v>0.03</v>
      </c>
      <c r="F40" s="43">
        <v>0.12</v>
      </c>
      <c r="G40" s="43">
        <v>0.18</v>
      </c>
      <c r="H40" s="44"/>
    </row>
    <row r="41">
      <c r="A41" s="9" t="s">
        <v>43</v>
      </c>
      <c r="C41" s="43">
        <v>0.6</v>
      </c>
      <c r="D41" s="43">
        <v>0.3</v>
      </c>
      <c r="E41" s="43">
        <v>0.85</v>
      </c>
      <c r="F41" s="43">
        <v>0.35</v>
      </c>
      <c r="G41" s="43">
        <v>0.15</v>
      </c>
    </row>
    <row r="42">
      <c r="A42" s="9" t="s">
        <v>122</v>
      </c>
      <c r="C42" s="9">
        <v>3.0</v>
      </c>
      <c r="D42" s="9">
        <v>5.0</v>
      </c>
      <c r="E42" s="9">
        <v>2.0</v>
      </c>
      <c r="F42" s="9">
        <v>6.0</v>
      </c>
      <c r="G42" s="9">
        <v>9.0</v>
      </c>
    </row>
    <row r="43">
      <c r="A43" s="9" t="s">
        <v>82</v>
      </c>
      <c r="C43" s="43">
        <v>0.75</v>
      </c>
      <c r="D43" s="43">
        <v>0.78</v>
      </c>
      <c r="E43" s="43">
        <v>0.73</v>
      </c>
      <c r="F43" s="43">
        <v>0.8</v>
      </c>
      <c r="G43" s="43">
        <v>0.82</v>
      </c>
    </row>
    <row r="44">
      <c r="A44" s="9" t="s">
        <v>124</v>
      </c>
      <c r="C44" s="41">
        <v>1.0</v>
      </c>
      <c r="D44" s="41">
        <v>0.9</v>
      </c>
      <c r="E44" s="41">
        <v>1.05</v>
      </c>
      <c r="F44" s="41">
        <v>0.8</v>
      </c>
      <c r="G44" s="41">
        <v>0.5</v>
      </c>
    </row>
    <row r="45">
      <c r="A45" s="9" t="s">
        <v>88</v>
      </c>
      <c r="C45" s="45">
        <v>0.0833</v>
      </c>
      <c r="D45" s="45">
        <v>0.095</v>
      </c>
      <c r="E45" s="45">
        <v>0.0833</v>
      </c>
      <c r="F45" s="45">
        <v>0.105</v>
      </c>
      <c r="G45" s="45">
        <v>0.12</v>
      </c>
    </row>
    <row r="46">
      <c r="A46" s="9" t="s">
        <v>91</v>
      </c>
      <c r="C46" s="45">
        <v>0.045</v>
      </c>
      <c r="D46" s="45">
        <v>0.06</v>
      </c>
      <c r="E46" s="45">
        <v>0.035</v>
      </c>
      <c r="F46" s="45">
        <v>0.07</v>
      </c>
      <c r="G46" s="45">
        <v>0.09</v>
      </c>
    </row>
    <row r="47">
      <c r="A47" s="9" t="s">
        <v>125</v>
      </c>
      <c r="C47" s="41">
        <v>1.0</v>
      </c>
      <c r="D47" s="41">
        <v>1.05</v>
      </c>
      <c r="E47" s="41">
        <v>0.98</v>
      </c>
      <c r="F47" s="41">
        <v>1.1</v>
      </c>
      <c r="G47" s="41">
        <v>1.15</v>
      </c>
    </row>
    <row r="48">
      <c r="A48" s="9" t="s">
        <v>97</v>
      </c>
      <c r="C48" s="43">
        <v>0.02</v>
      </c>
      <c r="D48" s="43">
        <v>0.025</v>
      </c>
      <c r="E48" s="43">
        <v>0.018</v>
      </c>
      <c r="F48" s="43">
        <v>0.03</v>
      </c>
      <c r="G48" s="43">
        <v>0.035</v>
      </c>
    </row>
    <row r="49">
      <c r="A49" s="9" t="s">
        <v>127</v>
      </c>
      <c r="C49" s="9">
        <v>0.0</v>
      </c>
      <c r="D49" s="9">
        <v>7.0</v>
      </c>
      <c r="E49" s="9">
        <v>-3.0</v>
      </c>
      <c r="F49" s="9">
        <v>15.0</v>
      </c>
      <c r="G49" s="9">
        <v>30.0</v>
      </c>
    </row>
    <row r="50">
      <c r="A50" s="9" t="s">
        <v>103</v>
      </c>
      <c r="C50" s="2">
        <f>WACC</f>
        <v>0.2138</v>
      </c>
      <c r="D50" s="2">
        <f>WACC+0.015</f>
        <v>0.2288</v>
      </c>
      <c r="E50" s="2">
        <f>WACC-0.01</f>
        <v>0.2038</v>
      </c>
      <c r="F50" s="2">
        <f>WACC+0.03</f>
        <v>0.2438</v>
      </c>
      <c r="G50" s="2">
        <f>WACC+0.05</f>
        <v>0.2638</v>
      </c>
    </row>
    <row r="52">
      <c r="A52" s="9" t="s">
        <v>130</v>
      </c>
      <c r="C52" s="7">
        <f t="shared" ref="C52:G52" si="1">C37*C38-1</f>
        <v>0</v>
      </c>
      <c r="D52" s="7">
        <f t="shared" si="1"/>
        <v>-0.088</v>
      </c>
      <c r="E52" s="7">
        <f t="shared" si="1"/>
        <v>0.0712</v>
      </c>
      <c r="F52" s="7">
        <f t="shared" si="1"/>
        <v>-0.1444</v>
      </c>
      <c r="G52" s="7">
        <f t="shared" si="1"/>
        <v>-0.545</v>
      </c>
    </row>
    <row r="55">
      <c r="A55" s="23" t="s">
        <v>133</v>
      </c>
      <c r="B55" s="39"/>
      <c r="C55" s="39"/>
      <c r="D55" s="39"/>
      <c r="E55" s="39"/>
      <c r="F55" s="39"/>
      <c r="G55" s="39"/>
      <c r="H55" s="39"/>
      <c r="I55" s="39"/>
    </row>
    <row r="56">
      <c r="A56" s="23" t="s">
        <v>135</v>
      </c>
      <c r="B56" s="23" t="s">
        <v>25</v>
      </c>
      <c r="C56" s="23" t="s">
        <v>24</v>
      </c>
      <c r="D56" s="23" t="s">
        <v>26</v>
      </c>
      <c r="E56" s="23" t="s">
        <v>114</v>
      </c>
      <c r="F56" s="23" t="s">
        <v>115</v>
      </c>
      <c r="G56" s="23" t="s">
        <v>137</v>
      </c>
      <c r="H56" s="23" t="s">
        <v>138</v>
      </c>
      <c r="I56" s="23" t="s">
        <v>139</v>
      </c>
    </row>
    <row r="57">
      <c r="A57" s="9" t="s">
        <v>140</v>
      </c>
      <c r="B57" s="47">
        <v>1.2282739803886203E7</v>
      </c>
      <c r="C57" s="47">
        <v>1.2282739803886203E7</v>
      </c>
      <c r="D57" s="47">
        <v>1.2282739803886203E7</v>
      </c>
      <c r="E57" s="47">
        <v>1.2282739803886203E7</v>
      </c>
      <c r="F57" s="47">
        <v>1.2282739803886203E7</v>
      </c>
      <c r="I57" s="48">
        <f>IFERROR(SUM(OFFSET('Profit &amp; Loss'!$A$1, MATCH("Venta Total (Despues de Comisiones OTAs + Pasarelas de Pago, IVA e Impuestos)", 'Profit &amp; Loss'!$A:$A, 0)-1, 3, 1, 12)), "Revise Error")</f>
        <v>12282739.8</v>
      </c>
    </row>
    <row r="58">
      <c r="A58" s="9" t="s">
        <v>144</v>
      </c>
      <c r="B58" s="47">
        <v>4274814.791399513</v>
      </c>
      <c r="C58" s="47">
        <v>4274814.791399513</v>
      </c>
      <c r="D58" s="47">
        <v>4274814.791399513</v>
      </c>
      <c r="E58" s="47">
        <v>4274814.791399513</v>
      </c>
      <c r="F58" s="47">
        <v>4274814.791399513</v>
      </c>
      <c r="I58" s="48">
        <f>'Valuación Contrato Bravante'!B46</f>
        <v>4094195.315</v>
      </c>
    </row>
    <row r="59">
      <c r="A59" s="9" t="s">
        <v>145</v>
      </c>
      <c r="B59" s="49">
        <v>0.34803430339271546</v>
      </c>
      <c r="C59" s="49">
        <v>0.34803430339271546</v>
      </c>
      <c r="D59" s="49">
        <v>0.34803430339271546</v>
      </c>
      <c r="E59" s="49">
        <v>0.34803430339271546</v>
      </c>
      <c r="F59" s="49">
        <v>0.34803430339271546</v>
      </c>
      <c r="I59" s="2">
        <f>I58/I57</f>
        <v>0.3333291579</v>
      </c>
    </row>
    <row r="60">
      <c r="A60" s="9" t="s">
        <v>148</v>
      </c>
      <c r="B60" s="47">
        <v>1955782.5657357925</v>
      </c>
      <c r="C60" s="47">
        <v>1871457.3599941654</v>
      </c>
      <c r="D60" s="47">
        <v>1993852.9159750273</v>
      </c>
      <c r="E60" s="47">
        <v>1792092.4604726345</v>
      </c>
      <c r="F60" s="47">
        <v>1697226.6040133047</v>
      </c>
      <c r="G60" s="9" t="s">
        <v>149</v>
      </c>
      <c r="H60" s="1" t="str">
        <f>IF(I60&gt;=0, "🟢", "🔴")</f>
        <v>🟢</v>
      </c>
      <c r="I60" s="48">
        <f>'Valuación Contrato Bravante'!B47</f>
        <v>1775163.09</v>
      </c>
    </row>
    <row r="61">
      <c r="A61" s="9" t="s">
        <v>151</v>
      </c>
      <c r="B61" s="49">
        <v>0.4575128189578237</v>
      </c>
      <c r="C61" s="49">
        <v>0.43778677002787225</v>
      </c>
      <c r="D61" s="49">
        <v>0.46641854987178716</v>
      </c>
      <c r="E61" s="49">
        <v>0.4192210769173298</v>
      </c>
      <c r="F61" s="49">
        <v>0.39702927187113457</v>
      </c>
      <c r="I61" s="2">
        <f>'Valuación Contrato Bravante'!B48</f>
        <v>0.4335804604</v>
      </c>
    </row>
    <row r="62">
      <c r="A62" s="9" t="s">
        <v>152</v>
      </c>
      <c r="B62" s="47">
        <v>1267088.9883384923</v>
      </c>
      <c r="C62" s="47">
        <v>1166702.4918511496</v>
      </c>
      <c r="D62" s="47">
        <v>1312410.5389585127</v>
      </c>
      <c r="E62" s="47">
        <v>1072221.0833924746</v>
      </c>
      <c r="F62" s="47">
        <v>959286.2748442156</v>
      </c>
      <c r="I62" s="48">
        <f>'Valuación Contrato Bravante'!F47</f>
        <v>1126094.424</v>
      </c>
    </row>
    <row r="63">
      <c r="A63" s="9" t="s">
        <v>158</v>
      </c>
      <c r="B63" s="47">
        <v>8051459.979428068</v>
      </c>
      <c r="C63" s="47">
        <v>7590563.94909123</v>
      </c>
      <c r="D63" s="47">
        <v>8259540.981359549</v>
      </c>
      <c r="E63" s="47">
        <v>7156779.449950679</v>
      </c>
      <c r="F63" s="47">
        <v>6638271.415821742</v>
      </c>
      <c r="I63" s="48">
        <f>'Valuación Contrato Bravante'!G47</f>
        <v>7250469.697</v>
      </c>
    </row>
    <row r="64">
      <c r="A64" s="9" t="s">
        <v>160</v>
      </c>
      <c r="B64" s="47">
        <v>887640.718346773</v>
      </c>
      <c r="C64" s="47">
        <v>817370.1708056328</v>
      </c>
      <c r="D64" s="47">
        <v>919365.8037807872</v>
      </c>
      <c r="E64" s="47">
        <v>751233.1848845603</v>
      </c>
      <c r="F64" s="47">
        <v>672178.8189007791</v>
      </c>
      <c r="I64" s="48">
        <f>'Valuación Contrato Bravante'!F59</f>
        <v>791193.5532</v>
      </c>
    </row>
    <row r="65">
      <c r="A65" s="9" t="s">
        <v>161</v>
      </c>
      <c r="B65" s="52">
        <v>30.284567808300757</v>
      </c>
      <c r="C65" s="52">
        <v>30.284567808300757</v>
      </c>
      <c r="D65" s="52">
        <v>30.284567808300757</v>
      </c>
      <c r="E65" s="52">
        <v>30.284567808300757</v>
      </c>
      <c r="F65" s="52">
        <v>30.284567808300757</v>
      </c>
      <c r="I65" s="54">
        <f>IFERROR(AVERAGE(OFFSET('Profit &amp; Loss'!$A$1, MATCH("({UO} | AT-AMP-02) - Analisis de Mercado [No. 1 - KIVA]", 'Profit &amp; Loss'!$B:$B, 0), 51, 1, 12)) + AVERAGE(OFFSET('Profit &amp; Loss'!$A$1, MATCH("({UO} | AT-AMP-02) - Analisis de Mercado [No. 2 - KIVA]", 'Profit &amp; Loss'!$B:$B, 0), 51, 1, 12)), "Revise Error")</f>
        <v>30.28456781</v>
      </c>
    </row>
    <row r="66">
      <c r="A66" s="9" t="s">
        <v>164</v>
      </c>
      <c r="B66" s="47">
        <v>6253459.114558912</v>
      </c>
      <c r="C66" s="47">
        <v>5854864.531520734</v>
      </c>
      <c r="D66" s="47">
        <v>6433412.845430559</v>
      </c>
      <c r="E66" s="47">
        <v>5479716.6886612745</v>
      </c>
      <c r="F66" s="47">
        <v>5031297.782743328</v>
      </c>
      <c r="G66" s="9" t="s">
        <v>166</v>
      </c>
      <c r="H66" s="1" t="str">
        <f>IF(I66&gt;='Paso 5 Resumen Desglose de Inve'!$D$77, "🟢", "🔴")</f>
        <v>🟢</v>
      </c>
      <c r="I66" s="48">
        <f>'Valuación Contrato Bravante'!B84</f>
        <v>5634261.696</v>
      </c>
    </row>
    <row r="67">
      <c r="A67" s="9" t="s">
        <v>168</v>
      </c>
      <c r="B67" s="34">
        <v>3.197420420917943</v>
      </c>
      <c r="C67" s="34">
        <v>3.128505440027224</v>
      </c>
      <c r="D67" s="34">
        <v>3.2266235858649144</v>
      </c>
      <c r="E67" s="34">
        <v>3.0577198495752227</v>
      </c>
      <c r="F67" s="34">
        <v>2.9644231187787153</v>
      </c>
      <c r="I67" s="56">
        <f>'Valuación Contrato Bravante'!B78</f>
        <v>3.173940315</v>
      </c>
    </row>
    <row r="68">
      <c r="A68" s="9" t="s">
        <v>170</v>
      </c>
      <c r="B68" s="47">
        <v>161189.4920120012</v>
      </c>
      <c r="C68" s="47">
        <v>150915.2970134158</v>
      </c>
      <c r="D68" s="47">
        <v>165827.98887165662</v>
      </c>
      <c r="E68" s="47">
        <v>141245.466426512</v>
      </c>
      <c r="F68" s="47">
        <v>129686.99705310354</v>
      </c>
      <c r="I68" s="48">
        <f>'Valuación Contrato Bravante'!B89</f>
        <v>145229.0267</v>
      </c>
    </row>
    <row r="69">
      <c r="A69" s="9" t="s">
        <v>171</v>
      </c>
      <c r="B69" s="49">
        <v>0.2547525421732482</v>
      </c>
      <c r="C69" s="49">
        <v>0.22598229496239156</v>
      </c>
      <c r="D69" s="49">
        <v>0.26748498510575563</v>
      </c>
      <c r="E69" s="49">
        <v>0.198107761063562</v>
      </c>
      <c r="F69" s="49">
        <v>0.16361502306793954</v>
      </c>
      <c r="G69" s="9" t="s">
        <v>172</v>
      </c>
      <c r="H69" s="1" t="str">
        <f>IF(I69&gt;='Valuación Contrato Bravante'!$B$18, "🟢", "🔴")</f>
        <v>🔴</v>
      </c>
      <c r="I69" s="2">
        <f>'Valuación Contrato Bravante'!B107</f>
        <v>0.2054642916</v>
      </c>
    </row>
    <row r="70">
      <c r="A70" s="9" t="s">
        <v>173</v>
      </c>
      <c r="B70" s="34">
        <v>609850.8586167442</v>
      </c>
      <c r="C70" s="34">
        <v>406963.58775676833</v>
      </c>
      <c r="D70" s="34">
        <v>701448.4941373505</v>
      </c>
      <c r="E70" s="34">
        <v>216010.86224149773</v>
      </c>
      <c r="F70" s="34">
        <v>-12237.317475973163</v>
      </c>
      <c r="I70" s="48">
        <f>'Valuación Contrato Bravante'!B108</f>
        <v>265527.733</v>
      </c>
    </row>
    <row r="71">
      <c r="A71" s="9" t="s">
        <v>175</v>
      </c>
      <c r="B71" s="34">
        <v>1.7862473121820337</v>
      </c>
      <c r="C71" s="34">
        <v>1.684580240073404</v>
      </c>
      <c r="D71" s="34">
        <v>1.8321470050310766</v>
      </c>
      <c r="E71" s="34">
        <v>1.588893583971165</v>
      </c>
      <c r="F71" s="34">
        <v>1.4745181278489574</v>
      </c>
      <c r="I71" s="56">
        <f>'Valuación Contrato Bravante'!B109</f>
        <v>1.61856323</v>
      </c>
    </row>
    <row r="72">
      <c r="A72" s="9" t="s">
        <v>176</v>
      </c>
      <c r="B72" s="34">
        <v>-1401951.5842963643</v>
      </c>
      <c r="C72" s="34">
        <v>-1411789.5249662208</v>
      </c>
      <c r="D72" s="34">
        <v>-1397510.04343512</v>
      </c>
      <c r="E72" s="34">
        <v>-1421048.7632437325</v>
      </c>
      <c r="F72" s="34">
        <v>-1432116.4464973211</v>
      </c>
      <c r="G72" s="9" t="s">
        <v>177</v>
      </c>
      <c r="H72" s="1" t="str">
        <f>IF(I72&gt;='Flujo de Efectivo'!$B$15, "🟢", IF(I72&gt;=0, "🟡", "🔴"))</f>
        <v>🔴</v>
      </c>
      <c r="I72" s="48">
        <f>'Flujo de Efectivo'!B76</f>
        <v>-1423566.872</v>
      </c>
    </row>
    <row r="73">
      <c r="A73" s="9" t="s">
        <v>179</v>
      </c>
      <c r="B73" s="34">
        <v>1401951.5842963643</v>
      </c>
      <c r="C73" s="34">
        <v>1411789.5249662208</v>
      </c>
      <c r="D73" s="34">
        <v>1397510.04343512</v>
      </c>
      <c r="E73" s="34">
        <v>1421048.7632437325</v>
      </c>
      <c r="F73" s="34">
        <v>1432116.4464973211</v>
      </c>
      <c r="I73" s="48">
        <f>'Flujo de Efectivo'!B78</f>
        <v>1423566.872</v>
      </c>
    </row>
    <row r="74">
      <c r="A74" s="9" t="s">
        <v>180</v>
      </c>
      <c r="B74" s="34">
        <v>18.0</v>
      </c>
      <c r="C74" s="34">
        <v>19.0</v>
      </c>
      <c r="D74" s="34">
        <v>18.0</v>
      </c>
      <c r="E74" s="34">
        <v>22.0</v>
      </c>
      <c r="F74" s="34">
        <v>22.0</v>
      </c>
      <c r="I74" s="60">
        <f>COUNTIF('Flujo de Efectivo'!D74:BK74,"&lt;"&amp;'Flujo de Efectivo'!B15)</f>
        <v>22</v>
      </c>
    </row>
    <row r="75">
      <c r="A75" s="9" t="s">
        <v>182</v>
      </c>
      <c r="B75" s="34">
        <v>-9.191176442738536</v>
      </c>
      <c r="C75" s="34">
        <v>-8.132617860287782</v>
      </c>
      <c r="D75" s="34">
        <v>-9.8887380818713</v>
      </c>
      <c r="E75" s="34">
        <v>-8.013600614236667</v>
      </c>
      <c r="F75" s="34">
        <v>-8.938434633758199</v>
      </c>
      <c r="G75" s="9" t="s">
        <v>183</v>
      </c>
      <c r="H75" s="1" t="str">
        <f>IF(I75&gt;=1.25, "🟢", IF(I75&gt;=1, "🟡", "🔴"))</f>
        <v>🔴</v>
      </c>
      <c r="I75" s="62">
        <f>MIN('Flujo de Efectivo'!D87:BK87)</f>
        <v>-7.990018689</v>
      </c>
    </row>
    <row r="76">
      <c r="A76" s="9" t="s">
        <v>185</v>
      </c>
      <c r="B76" s="34">
        <v>500000.0</v>
      </c>
      <c r="C76" s="34">
        <v>500000.0</v>
      </c>
      <c r="D76" s="34">
        <v>500000.0</v>
      </c>
      <c r="E76" s="34">
        <v>500000.0</v>
      </c>
      <c r="F76" s="34">
        <v>500000.0</v>
      </c>
      <c r="G76" s="9" t="s">
        <v>186</v>
      </c>
      <c r="H76" s="1" t="str">
        <f>IF(I76&lt;='Flujo de Efectivo'!$B$13, "🟢", "🔴")</f>
        <v>🟢</v>
      </c>
      <c r="I76" s="48">
        <f>MAX('Flujo de Efectivo'!D66:BK66)</f>
        <v>500000</v>
      </c>
    </row>
    <row r="77">
      <c r="A77" s="9" t="s">
        <v>187</v>
      </c>
      <c r="B77" s="34">
        <v>717667.0672626854</v>
      </c>
      <c r="C77" s="34">
        <v>717667.0672626854</v>
      </c>
      <c r="D77" s="34">
        <v>717667.0672626854</v>
      </c>
      <c r="E77" s="34">
        <v>717667.0672626854</v>
      </c>
      <c r="F77" s="34">
        <v>717667.0672626854</v>
      </c>
      <c r="I77" s="48">
        <f>MAX('Flujo de Efectivo'!D83:BK83)</f>
        <v>732679.3592</v>
      </c>
    </row>
    <row r="78">
      <c r="A78" s="9" t="s">
        <v>188</v>
      </c>
      <c r="B78" s="34">
        <v>-2099412.096046324</v>
      </c>
      <c r="C78" s="34">
        <v>-2109250.036716181</v>
      </c>
      <c r="D78" s="34">
        <v>-2094970.5551850798</v>
      </c>
      <c r="E78" s="34">
        <v>-2118509.2749936925</v>
      </c>
      <c r="F78" s="34">
        <v>-2129576.9582472807</v>
      </c>
      <c r="G78" s="9" t="s">
        <v>149</v>
      </c>
      <c r="H78" s="1" t="str">
        <f>IF(I78&gt;=0, "🟢", "🔴")</f>
        <v>🔴</v>
      </c>
      <c r="I78" s="48">
        <f>MIN('Flujo de Efectivo'!D84:BK84)</f>
        <v>-2136353.388</v>
      </c>
    </row>
    <row r="80">
      <c r="A80" s="10" t="s">
        <v>189</v>
      </c>
    </row>
    <row r="99">
      <c r="A99" s="34" t="s">
        <v>190</v>
      </c>
      <c r="B99" s="1" t="str">
        <f>IF(ABS(B125 - 'Valuación Contrato Bravante'!$B$84) &lt; 10, "OK", "ERROR")</f>
        <v>OK</v>
      </c>
    </row>
    <row r="101">
      <c r="A101" s="34" t="s">
        <v>191</v>
      </c>
    </row>
    <row r="102">
      <c r="A102" s="34" t="s">
        <v>192</v>
      </c>
      <c r="B102" s="64">
        <f>MATCH("Venta Total (Despues de Comisiones OTAs + Pasarelas de Pago, IVA e Impuestos)", 'Profit &amp; Loss'!$A:$A, 0)</f>
        <v>7</v>
      </c>
    </row>
    <row r="103">
      <c r="A103" s="34" t="s">
        <v>193</v>
      </c>
      <c r="B103" s="64">
        <f>MATCH("Reparto a Propietarios (Pass-through)", 'Profit &amp; Loss'!$B:$B, 0)</f>
        <v>18</v>
      </c>
    </row>
    <row r="104">
      <c r="A104" s="34" t="s">
        <v>194</v>
      </c>
      <c r="B104" s="64">
        <f>MATCH("Ingreso Del Mar (Neto de Reparto)", 'Profit &amp; Loss'!$A:$A, 0)</f>
        <v>19</v>
      </c>
    </row>
    <row r="105">
      <c r="A105" s="34" t="s">
        <v>196</v>
      </c>
      <c r="B105" s="64">
        <f>MATCH("Gastos Operativos", 'Profit &amp; Loss'!$A:$A, 0)</f>
        <v>25</v>
      </c>
    </row>
    <row r="106">
      <c r="A106" s="34" t="s">
        <v>197</v>
      </c>
      <c r="B106" s="31">
        <f>'Valuación Contrato Bravante'!B10</f>
        <v>0.3</v>
      </c>
    </row>
    <row r="107">
      <c r="A107" s="34" t="s">
        <v>103</v>
      </c>
      <c r="B107" s="31">
        <f>WACCStress</f>
        <v>0.2138</v>
      </c>
    </row>
    <row r="108">
      <c r="A108" s="34" t="s">
        <v>198</v>
      </c>
      <c r="B108" s="65">
        <f>'Paso 5 Resumen Desglose de Inve'!$D$50</f>
        <v>419171</v>
      </c>
    </row>
    <row r="110">
      <c r="A110" s="34" t="s">
        <v>199</v>
      </c>
      <c r="B110" s="66">
        <v>0.0</v>
      </c>
      <c r="C110" s="66">
        <v>1.0</v>
      </c>
      <c r="D110" s="66">
        <v>2.0</v>
      </c>
      <c r="E110" s="66">
        <v>3.0</v>
      </c>
      <c r="F110" s="66">
        <v>4.0</v>
      </c>
    </row>
    <row r="111">
      <c r="A111" s="34" t="s">
        <v>200</v>
      </c>
    </row>
    <row r="112">
      <c r="A112" s="34" t="s">
        <v>201</v>
      </c>
      <c r="B112" s="67">
        <f>SUM(OFFSET('Profit &amp; Loss'!$A$1, $B$102-1, 3 + B$110*12, 1, 12))</f>
        <v>12282739.8</v>
      </c>
      <c r="C112" s="67">
        <f>SUM(OFFSET('Profit &amp; Loss'!$A$1, $B$102-1, 3 + C$110*12, 1, 12))</f>
        <v>12007606.43</v>
      </c>
      <c r="D112" s="67">
        <f>SUM(OFFSET('Profit &amp; Loss'!$A$1, $B$102-1, 3 + D$110*12, 1, 12))</f>
        <v>11738636.05</v>
      </c>
      <c r="E112" s="67">
        <f>SUM(OFFSET('Profit &amp; Loss'!$A$1, $B$102-1, 3 + E$110*12, 1, 12))</f>
        <v>11509007.03</v>
      </c>
      <c r="F112" s="67">
        <f>SUM(OFFSET('Profit &amp; Loss'!$A$1, $B$102-1, 3 + F$110*12, 1, 12))</f>
        <v>11216733.49</v>
      </c>
    </row>
    <row r="113">
      <c r="A113" s="34" t="s">
        <v>202</v>
      </c>
      <c r="B113" s="67">
        <f>SUM(OFFSET('Profit &amp; Loss'!$A$1, $B$103-1, 3 + B$110*12, 1, 12))</f>
        <v>8188544.489</v>
      </c>
      <c r="C113" s="67">
        <f>SUM(OFFSET('Profit &amp; Loss'!$A$1, $B$103-1, 3 + C$110*12, 1, 12))</f>
        <v>8043605.082</v>
      </c>
      <c r="D113" s="67">
        <f>SUM(OFFSET('Profit &amp; Loss'!$A$1, $B$103-1, 3 + D$110*12, 1, 12))</f>
        <v>7899603.278</v>
      </c>
      <c r="E113" s="67">
        <f>SUM(OFFSET('Profit &amp; Loss'!$A$1, $B$103-1, 3 + E$110*12, 1, 12))</f>
        <v>7781763.403</v>
      </c>
      <c r="F113" s="67">
        <f>SUM(OFFSET('Profit &amp; Loss'!$A$1, $B$103-1, 3 + F$110*12, 1, 12))</f>
        <v>7613580.92</v>
      </c>
    </row>
    <row r="114">
      <c r="A114" s="34" t="s">
        <v>204</v>
      </c>
      <c r="B114" s="67">
        <f>SUM(OFFSET('Profit &amp; Loss'!$A$1, $B$104-1, 3 + B$110*12, 1, 12))</f>
        <v>4094195.315</v>
      </c>
      <c r="C114" s="67">
        <f>SUM(OFFSET('Profit &amp; Loss'!$A$1, $B$104-1, 3 + C$110*12, 1, 12))</f>
        <v>3964001.351</v>
      </c>
      <c r="D114" s="67">
        <f>SUM(OFFSET('Profit &amp; Loss'!$A$1, $B$104-1, 3 + D$110*12, 1, 12))</f>
        <v>3839032.77</v>
      </c>
      <c r="E114" s="67">
        <f>SUM(OFFSET('Profit &amp; Loss'!$A$1, $B$104-1, 3 + E$110*12, 1, 12))</f>
        <v>3727243.625</v>
      </c>
      <c r="F114" s="67">
        <f>SUM(OFFSET('Profit &amp; Loss'!$A$1, $B$104-1, 3 + F$110*12, 1, 12))</f>
        <v>3603152.571</v>
      </c>
    </row>
    <row r="115">
      <c r="A115" s="34" t="s">
        <v>205</v>
      </c>
      <c r="B115" s="67">
        <f>SUM(OFFSET('Profit &amp; Loss'!$A$1, $B$105-1, 3 + B$110*12, 1, 12))</f>
        <v>1295880</v>
      </c>
      <c r="C115" s="67">
        <f>SUM(OFFSET('Profit &amp; Loss'!$A$1, $B$105-1, 3 + C$110*12, 1, 12))</f>
        <v>1353573.6</v>
      </c>
      <c r="D115" s="67">
        <f>SUM(OFFSET('Profit &amp; Loss'!$A$1, $B$105-1, 3 + D$110*12, 1, 12))</f>
        <v>1413863.412</v>
      </c>
      <c r="E115" s="67">
        <f>SUM(OFFSET('Profit &amp; Loss'!$A$1, $B$105-1, 3 + E$110*12, 1, 12))</f>
        <v>1476866.266</v>
      </c>
      <c r="F115" s="67">
        <f>SUM(OFFSET('Profit &amp; Loss'!$A$1, $B$105-1, 3 + F$110*12, 1, 12))</f>
        <v>1542704.247</v>
      </c>
    </row>
    <row r="116">
      <c r="A116" s="34" t="s">
        <v>206</v>
      </c>
      <c r="B116" s="67">
        <f>SUM(OFFSET('Profit &amp; Loss'!$A$1, MATCH("EBITDA", 'Profit &amp; Loss'!$A:$A, 0)-1, 3 + B$110*12, 1, 12))</f>
        <v>1775163.09</v>
      </c>
      <c r="C116" s="67">
        <f>SUM(OFFSET('Profit &amp; Loss'!$A$1, MATCH("EBITDA", 'Profit &amp; Loss'!$A:$A, 0)-1, 3 + C$110*12, 1, 12))</f>
        <v>1610194.135</v>
      </c>
      <c r="D116" s="67">
        <f>SUM(OFFSET('Profit &amp; Loss'!$A$1, MATCH("EBITDA", 'Profit &amp; Loss'!$A:$A, 0)-1, 3 + D$110*12, 1, 12))</f>
        <v>1447340.975</v>
      </c>
      <c r="E116" s="67">
        <f>SUM(OFFSET('Profit &amp; Loss'!$A$1, MATCH("EBITDA", 'Profit &amp; Loss'!$A:$A, 0)-1, 3 + E$110*12, 1, 12))</f>
        <v>1291677.074</v>
      </c>
      <c r="F116" s="67">
        <f>SUM(OFFSET('Profit &amp; Loss'!$A$1, MATCH("EBITDA", 'Profit &amp; Loss'!$A:$A, 0)-1, 3 + F$110*12, 1, 12))</f>
        <v>1126094.424</v>
      </c>
    </row>
    <row r="117">
      <c r="A117" s="34" t="s">
        <v>207</v>
      </c>
      <c r="B117" s="67">
        <f>-B114 * CapexStress</f>
        <v>-81883.90631</v>
      </c>
      <c r="C117" s="67">
        <f>-C114 * CapexStress</f>
        <v>-79280.02701</v>
      </c>
      <c r="D117" s="67">
        <f>-D114 * CapexStress</f>
        <v>-76780.6554</v>
      </c>
      <c r="E117" s="67">
        <f>-E114 * CapexStress</f>
        <v>-74544.8725</v>
      </c>
      <c r="F117" s="67">
        <f>-F114 * CapexStress</f>
        <v>-72063.05142</v>
      </c>
    </row>
    <row r="118">
      <c r="A118" s="34" t="s">
        <v>208</v>
      </c>
      <c r="B118" s="67">
        <f>-('Paso 5 Resumen Desglose de Inve'!$D$25 / 5) - (B117 / 5)</f>
        <v>-214006.6396</v>
      </c>
      <c r="C118" s="67">
        <f>-('Paso 5 Resumen Desglose de Inve'!$D$25 / 5) - (C117 / 5)</f>
        <v>-214527.4155</v>
      </c>
      <c r="D118" s="67">
        <f>-('Paso 5 Resumen Desglose de Inve'!$D$25 / 5) - (D117 / 5)</f>
        <v>-215027.2898</v>
      </c>
      <c r="E118" s="67">
        <f>-('Paso 5 Resumen Desglose de Inve'!$D$25 / 5) - (E117 / 5)</f>
        <v>-215474.4464</v>
      </c>
      <c r="F118" s="67">
        <f>-('Paso 5 Resumen Desglose de Inve'!$D$25 / 5) - (F117 / 5)</f>
        <v>-215970.8106</v>
      </c>
    </row>
    <row r="119">
      <c r="A119" s="34" t="s">
        <v>209</v>
      </c>
      <c r="B119" s="67">
        <f>IF(B$110=0, -(B114 * (30 + DeltaCobranza) / 365) + $B$108, -((B114 - A114) * (30 + DeltaCobranza) / 365))</f>
        <v>82661.796</v>
      </c>
      <c r="C119" s="67">
        <f>IF(C$110=0, -(C114 * (30 + DeltaCobranza) / 365) + $B$108, -((C114 - B114) * (30 + DeltaCobranza) / 365))</f>
        <v>10700.87382</v>
      </c>
      <c r="D119" s="67">
        <f>IF(D$110=0, -(D114 * (30 + DeltaCobranza) / 365) + $B$108, -((D114 - C114) * (30 + DeltaCobranza) / 365))</f>
        <v>10271.39018</v>
      </c>
      <c r="E119" s="67">
        <f>IF(E$110=0, -(E114 * (30 + DeltaCobranza) / 365) + $B$108, -((E114 - D114) * (30 + DeltaCobranza) / 365))</f>
        <v>9188.148917</v>
      </c>
      <c r="F119" s="67">
        <f>IF(F$110=0, -(F114 * (30 + DeltaCobranza) / 365) + $B$108, -((F114 - E114) * (30 + DeltaCobranza) / 365))</f>
        <v>10199.26468</v>
      </c>
    </row>
    <row r="120">
      <c r="A120" s="34" t="s">
        <v>211</v>
      </c>
      <c r="B120" s="67">
        <f t="shared" ref="B120:F120" si="2">(B116 + B118) - MAX(0, B116 + B118)*$B$106 - B118 + B117 + B119</f>
        <v>1307594.044</v>
      </c>
      <c r="C120" s="67">
        <f t="shared" si="2"/>
        <v>1122914.966</v>
      </c>
      <c r="D120" s="67">
        <f t="shared" si="2"/>
        <v>1011137.604</v>
      </c>
      <c r="E120" s="67">
        <f t="shared" si="2"/>
        <v>903459.5621</v>
      </c>
      <c r="F120" s="67">
        <f t="shared" si="2"/>
        <v>791193.5532</v>
      </c>
    </row>
    <row r="122">
      <c r="A122" s="34" t="s">
        <v>212</v>
      </c>
      <c r="B122" s="2">
        <f>0.04 - (ChurnStress * (1 - ReposicionStress))</f>
        <v>0.016</v>
      </c>
    </row>
    <row r="123">
      <c r="A123" s="34" t="s">
        <v>213</v>
      </c>
      <c r="B123" s="67">
        <f>B120/(1+$B$107)^0.5 + C120/(1+$B$107)^1.5 + D120/(1+$B$107)^2.5 + E120/(1+$B$107)^3.5 + F120/(1+$B$107)^4.5</f>
        <v>3438897.572</v>
      </c>
    </row>
    <row r="124">
      <c r="A124" s="34" t="s">
        <v>215</v>
      </c>
      <c r="B124" s="67">
        <f>(F116 * (1 + B122) / ($B$107 - B122)) / (1+$B$107)^5</f>
        <v>2195364.124</v>
      </c>
    </row>
    <row r="125">
      <c r="A125" s="34" t="s">
        <v>216</v>
      </c>
      <c r="B125" s="67">
        <f>B123 + B124</f>
        <v>5634261.696</v>
      </c>
    </row>
  </sheetData>
  <conditionalFormatting sqref="B99">
    <cfRule type="cellIs" dxfId="1" priority="1" stopIfTrue="1" operator="equal">
      <formula>"OK"</formula>
    </cfRule>
  </conditionalFormatting>
  <conditionalFormatting sqref="B99">
    <cfRule type="cellIs" dxfId="2" priority="2" stopIfTrue="1" operator="equal">
      <formula>"ERROR"</formula>
    </cfRule>
  </conditionalFormatting>
  <conditionalFormatting sqref="A13">
    <cfRule type="expression" dxfId="3" priority="3" stopIfTrue="1">
      <formula>$B$5="ON"</formula>
    </cfRule>
  </conditionalFormatting>
  <dataValidations>
    <dataValidation type="decimal" allowBlank="1" showErrorMessage="1" sqref="B3">
      <formula1>1.0</formula1>
      <formula2>5.0</formula2>
    </dataValidation>
    <dataValidation type="list" allowBlank="1" showErrorMessage="1" sqref="B5">
      <formula1>"ON,OFF"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2"/>
  <cols>
    <col customWidth="1" min="1" max="1" width="64.75"/>
    <col customWidth="1" min="2" max="7" width="15.13"/>
  </cols>
  <sheetData>
    <row r="1">
      <c r="A1" s="9" t="s">
        <v>224</v>
      </c>
      <c r="B1" s="78"/>
      <c r="C1" s="79"/>
      <c r="D1" s="79"/>
      <c r="E1" s="79"/>
      <c r="F1" s="79"/>
      <c r="G1" s="79"/>
    </row>
    <row r="2">
      <c r="B2" s="79"/>
      <c r="C2" s="79"/>
      <c r="D2" s="79"/>
      <c r="E2" s="79"/>
      <c r="F2" s="79"/>
      <c r="G2" s="79"/>
    </row>
    <row r="3">
      <c r="A3" s="23" t="s">
        <v>227</v>
      </c>
      <c r="B3" s="80"/>
      <c r="C3" s="79"/>
      <c r="D3" s="79"/>
      <c r="E3" s="79"/>
      <c r="F3" s="79"/>
      <c r="G3" s="79"/>
    </row>
    <row r="4">
      <c r="A4" s="9" t="s">
        <v>228</v>
      </c>
      <c r="B4" s="81">
        <v>0.0945</v>
      </c>
      <c r="C4" s="82" t="s">
        <v>229</v>
      </c>
      <c r="D4" s="79"/>
      <c r="E4" s="79"/>
      <c r="F4" s="79"/>
      <c r="G4" s="79"/>
    </row>
    <row r="5">
      <c r="A5" s="9" t="s">
        <v>230</v>
      </c>
      <c r="B5" s="81">
        <v>0.05</v>
      </c>
      <c r="C5" s="82" t="s">
        <v>231</v>
      </c>
      <c r="D5" s="79"/>
      <c r="E5" s="79"/>
      <c r="F5" s="79"/>
      <c r="G5" s="79"/>
    </row>
    <row r="6">
      <c r="A6" s="1" t="s">
        <v>232</v>
      </c>
      <c r="B6" s="83">
        <v>0.0182</v>
      </c>
      <c r="C6" s="1" t="s">
        <v>233</v>
      </c>
      <c r="D6" s="79"/>
      <c r="E6" s="79"/>
      <c r="F6" s="79"/>
      <c r="G6" s="79"/>
    </row>
    <row r="7">
      <c r="A7" s="9" t="s">
        <v>234</v>
      </c>
      <c r="B7" s="81">
        <v>0.0275</v>
      </c>
      <c r="C7" s="82" t="s">
        <v>236</v>
      </c>
      <c r="D7" s="79"/>
      <c r="E7" s="79"/>
      <c r="F7" s="79"/>
      <c r="G7" s="79"/>
    </row>
    <row r="8">
      <c r="A8" s="9" t="s">
        <v>237</v>
      </c>
      <c r="B8" s="84">
        <v>1.0</v>
      </c>
      <c r="C8" s="82" t="s">
        <v>238</v>
      </c>
      <c r="D8" s="79"/>
      <c r="E8" s="79"/>
      <c r="F8" s="79"/>
      <c r="G8" s="79"/>
    </row>
    <row r="9">
      <c r="A9" s="9" t="s">
        <v>239</v>
      </c>
      <c r="B9" s="81">
        <v>0.0</v>
      </c>
      <c r="C9" s="85" t="s">
        <v>240</v>
      </c>
      <c r="D9" s="79"/>
      <c r="E9" s="79"/>
      <c r="F9" s="79"/>
      <c r="G9" s="79"/>
    </row>
    <row r="10">
      <c r="A10" s="9" t="s">
        <v>197</v>
      </c>
      <c r="B10" s="81">
        <v>0.3</v>
      </c>
      <c r="C10" s="85" t="s">
        <v>241</v>
      </c>
      <c r="D10" s="79"/>
      <c r="E10" s="79"/>
      <c r="F10" s="79"/>
      <c r="G10" s="79"/>
    </row>
    <row r="11">
      <c r="A11" s="9" t="s">
        <v>242</v>
      </c>
      <c r="B11" s="86">
        <f>B8*(1+(1-B10)*B9)</f>
        <v>1</v>
      </c>
      <c r="C11" s="87"/>
      <c r="D11" s="87"/>
      <c r="E11" s="87"/>
      <c r="F11" s="87"/>
      <c r="G11" s="87"/>
    </row>
    <row r="12">
      <c r="A12" s="9" t="s">
        <v>243</v>
      </c>
      <c r="B12" s="81">
        <v>0.04</v>
      </c>
      <c r="C12" s="88" t="s">
        <v>244</v>
      </c>
      <c r="D12" s="89"/>
      <c r="E12" s="89"/>
      <c r="F12" s="89"/>
      <c r="G12" s="89"/>
    </row>
    <row r="13">
      <c r="A13" s="9" t="s">
        <v>245</v>
      </c>
      <c r="B13" s="81">
        <v>0.02</v>
      </c>
      <c r="C13" s="88" t="s">
        <v>246</v>
      </c>
      <c r="D13" s="89"/>
      <c r="E13" s="89"/>
      <c r="F13" s="89"/>
      <c r="G13" s="89"/>
    </row>
    <row r="14">
      <c r="A14" s="9" t="s">
        <v>247</v>
      </c>
      <c r="B14" s="90">
        <f>(B4-B6)+B11*B5+B7+B12+B13</f>
        <v>0.2138</v>
      </c>
      <c r="C14" s="89"/>
      <c r="D14" s="89"/>
      <c r="E14" s="89"/>
      <c r="F14" s="89"/>
      <c r="G14" s="89"/>
    </row>
    <row r="15">
      <c r="A15" s="9" t="s">
        <v>248</v>
      </c>
      <c r="B15" s="91">
        <v>0.11</v>
      </c>
      <c r="C15" s="92" t="s">
        <v>249</v>
      </c>
      <c r="D15" s="93"/>
      <c r="E15" s="93"/>
      <c r="F15" s="93"/>
      <c r="G15" s="93"/>
    </row>
    <row r="16">
      <c r="A16" s="9" t="s">
        <v>250</v>
      </c>
      <c r="B16" s="94">
        <f>B9/(1+B9)</f>
        <v>0</v>
      </c>
      <c r="C16" s="89"/>
      <c r="D16" s="89"/>
      <c r="E16" s="89"/>
      <c r="F16" s="89"/>
      <c r="G16" s="89"/>
    </row>
    <row r="17">
      <c r="A17" s="9" t="s">
        <v>251</v>
      </c>
      <c r="B17" s="94">
        <f>1-B16</f>
        <v>1</v>
      </c>
      <c r="C17" s="89"/>
      <c r="D17" s="89"/>
      <c r="E17" s="89"/>
      <c r="F17" s="89"/>
      <c r="G17" s="89"/>
    </row>
    <row r="18">
      <c r="A18" s="9" t="s">
        <v>252</v>
      </c>
      <c r="B18" s="95">
        <f>B17*B14+B16*B15*(1-B10)</f>
        <v>0.2138</v>
      </c>
      <c r="C18" s="96"/>
      <c r="D18" s="96"/>
      <c r="E18" s="96"/>
      <c r="F18" s="96"/>
      <c r="G18" s="96"/>
    </row>
    <row r="19">
      <c r="A19" s="1" t="s">
        <v>254</v>
      </c>
      <c r="B19" s="35">
        <v>0.232</v>
      </c>
      <c r="C19" s="79"/>
      <c r="D19" s="79"/>
      <c r="E19" s="79"/>
      <c r="F19" s="79"/>
      <c r="G19" s="79"/>
    </row>
    <row r="20">
      <c r="A20" s="1" t="s">
        <v>255</v>
      </c>
      <c r="B20" s="35">
        <f>B18-B19</f>
        <v>-0.0182</v>
      </c>
      <c r="C20" s="85"/>
      <c r="D20" s="79"/>
      <c r="E20" s="79"/>
      <c r="F20" s="79"/>
      <c r="G20" s="79"/>
    </row>
    <row r="21">
      <c r="A21" s="9"/>
      <c r="B21" s="82"/>
      <c r="C21" s="85"/>
      <c r="D21" s="79"/>
      <c r="E21" s="79"/>
      <c r="F21" s="79"/>
      <c r="G21" s="79"/>
    </row>
    <row r="22">
      <c r="A22" s="9" t="s">
        <v>256</v>
      </c>
      <c r="B22" s="82" t="s">
        <v>258</v>
      </c>
      <c r="C22" s="85" t="s">
        <v>259</v>
      </c>
      <c r="D22" s="79"/>
      <c r="E22" s="79"/>
      <c r="F22" s="79"/>
      <c r="G22" s="79"/>
    </row>
    <row r="23">
      <c r="A23" s="9" t="s">
        <v>260</v>
      </c>
      <c r="B23" s="82" t="s">
        <v>261</v>
      </c>
      <c r="C23" s="98" t="s">
        <v>263</v>
      </c>
      <c r="D23" s="99"/>
      <c r="E23" s="99"/>
      <c r="F23" s="99"/>
      <c r="G23" s="99"/>
    </row>
    <row r="24">
      <c r="A24" s="9" t="s">
        <v>264</v>
      </c>
      <c r="B24" s="82">
        <v>6.0</v>
      </c>
      <c r="C24" s="88" t="s">
        <v>263</v>
      </c>
      <c r="D24" s="89"/>
      <c r="E24" s="89"/>
      <c r="F24" s="89"/>
      <c r="G24" s="89"/>
    </row>
    <row r="25">
      <c r="A25" s="9" t="s">
        <v>265</v>
      </c>
      <c r="B25" s="100">
        <f>ChurnEsc</f>
        <v>0.06</v>
      </c>
      <c r="C25" s="101"/>
      <c r="D25" s="101"/>
      <c r="E25" s="101"/>
      <c r="F25" s="101"/>
      <c r="G25" s="101"/>
    </row>
    <row r="26">
      <c r="A26" s="9" t="s">
        <v>266</v>
      </c>
      <c r="B26" s="103" t="s">
        <v>261</v>
      </c>
      <c r="C26" s="92" t="s">
        <v>267</v>
      </c>
      <c r="D26" s="104"/>
      <c r="E26" s="104"/>
      <c r="F26" s="104"/>
      <c r="G26" s="104"/>
    </row>
    <row r="27">
      <c r="B27" s="85"/>
      <c r="C27" s="89"/>
      <c r="D27" s="101"/>
      <c r="E27" s="101"/>
      <c r="F27" s="101"/>
      <c r="G27" s="101"/>
    </row>
    <row r="28">
      <c r="A28" s="9" t="s">
        <v>268</v>
      </c>
      <c r="B28" s="105">
        <v>4.0</v>
      </c>
      <c r="C28" s="88" t="s">
        <v>269</v>
      </c>
      <c r="D28" s="101"/>
      <c r="E28" s="101"/>
      <c r="F28" s="101"/>
      <c r="G28" s="101"/>
    </row>
    <row r="29">
      <c r="A29" s="9" t="s">
        <v>270</v>
      </c>
      <c r="B29" s="81">
        <v>5.0</v>
      </c>
      <c r="C29" s="88" t="s">
        <v>271</v>
      </c>
      <c r="D29" s="101"/>
      <c r="E29" s="101"/>
      <c r="F29" s="101"/>
      <c r="G29" s="101"/>
    </row>
    <row r="30">
      <c r="A30" s="9" t="s">
        <v>272</v>
      </c>
      <c r="B30" s="106">
        <v>0.02</v>
      </c>
      <c r="C30" s="107" t="s">
        <v>273</v>
      </c>
      <c r="D30" s="108"/>
      <c r="E30" s="108"/>
      <c r="F30" s="108"/>
      <c r="G30" s="108"/>
    </row>
    <row r="31">
      <c r="A31" s="9" t="s">
        <v>274</v>
      </c>
      <c r="B31" s="81">
        <v>30.0</v>
      </c>
      <c r="C31" s="85" t="s">
        <v>275</v>
      </c>
      <c r="D31" s="79"/>
      <c r="E31" s="79"/>
      <c r="F31" s="79"/>
      <c r="G31" s="79"/>
    </row>
    <row r="32">
      <c r="A32" s="9" t="s">
        <v>276</v>
      </c>
      <c r="B32" s="110">
        <v>45658.0</v>
      </c>
      <c r="C32" s="85" t="s">
        <v>277</v>
      </c>
      <c r="D32" s="79"/>
      <c r="E32" s="79"/>
      <c r="F32" s="79"/>
      <c r="G32" s="79"/>
    </row>
    <row r="33">
      <c r="A33" s="9" t="s">
        <v>278</v>
      </c>
      <c r="B33" s="99">
        <f>'Paso 5 Resumen Desglose de Inve'!B12</f>
        <v>17.98927</v>
      </c>
      <c r="C33" s="79"/>
      <c r="D33" s="79"/>
      <c r="E33" s="79"/>
      <c r="F33" s="79"/>
      <c r="G33" s="79"/>
    </row>
    <row r="34">
      <c r="A34" s="1" t="s">
        <v>279</v>
      </c>
      <c r="B34" s="111">
        <v>200000.0</v>
      </c>
    </row>
    <row r="35">
      <c r="A35" s="1" t="s">
        <v>280</v>
      </c>
      <c r="B35" s="111">
        <v>300000.0</v>
      </c>
    </row>
    <row r="37">
      <c r="A37" s="23" t="s">
        <v>281</v>
      </c>
      <c r="B37" s="9">
        <v>2025.0</v>
      </c>
      <c r="C37" s="9">
        <v>2026.0</v>
      </c>
      <c r="D37" s="9">
        <v>2027.0</v>
      </c>
      <c r="E37" s="9">
        <v>2028.0</v>
      </c>
      <c r="F37" s="9">
        <v>2029.0</v>
      </c>
      <c r="G37" s="9" t="s">
        <v>61</v>
      </c>
    </row>
    <row r="38">
      <c r="A38" s="9" t="s">
        <v>282</v>
      </c>
      <c r="B38" s="112">
        <f>IFERROR(SUM(OFFSET('Profit &amp; Loss'!$A$1, MATCH("EBITDA", 'Profit &amp; Loss'!$A:$A, 0)-1, 3, 1, 12)), "Revise Error")</f>
        <v>1775163.09</v>
      </c>
      <c r="C38" s="112">
        <f>IFERROR(SUM(OFFSET('Profit &amp; Loss'!$A$1, MATCH("EBITDA", 'Profit &amp; Loss'!$A:$A, 0)-1, 15, 1, 12)), "Revise Error")</f>
        <v>1610194.135</v>
      </c>
      <c r="D38" s="112">
        <f>IFERROR(SUM(OFFSET('Profit &amp; Loss'!$A$1, MATCH("EBITDA", 'Profit &amp; Loss'!$A:$A, 0)-1, 27, 1, 12)), "Revise Error")</f>
        <v>1447340.975</v>
      </c>
      <c r="E38" s="112">
        <f>IFERROR(SUM(OFFSET('Profit &amp; Loss'!$A$1, MATCH("EBITDA", 'Profit &amp; Loss'!$A:$A, 0)-1, 39, 1, 12)), "Revise Error")</f>
        <v>1291677.074</v>
      </c>
      <c r="F38" s="112">
        <f>IFERROR(SUM(OFFSET('Profit &amp; Loss'!$A$1, MATCH("EBITDA", 'Profit &amp; Loss'!$A:$A, 0)-1, 51, 1, 12)), "Revise Error")</f>
        <v>1126094.424</v>
      </c>
      <c r="G38" s="112">
        <f t="shared" ref="G38:G42" si="1">SUM(B38:F38)</f>
        <v>7250469.697</v>
      </c>
      <c r="H38" s="9" t="s">
        <v>283</v>
      </c>
    </row>
    <row r="39">
      <c r="A39" s="9" t="s">
        <v>284</v>
      </c>
      <c r="B39" s="113">
        <v>0.0</v>
      </c>
      <c r="C39" s="113">
        <v>0.0</v>
      </c>
      <c r="D39" s="113">
        <v>0.0</v>
      </c>
      <c r="E39" s="113">
        <v>0.0</v>
      </c>
      <c r="F39" s="113">
        <v>0.0</v>
      </c>
      <c r="G39" s="112">
        <f t="shared" si="1"/>
        <v>0</v>
      </c>
    </row>
    <row r="40">
      <c r="A40" s="9" t="s">
        <v>285</v>
      </c>
      <c r="B40" s="113">
        <v>0.0</v>
      </c>
      <c r="C40" s="113">
        <v>0.0</v>
      </c>
      <c r="D40" s="113">
        <v>0.0</v>
      </c>
      <c r="E40" s="113">
        <v>0.0</v>
      </c>
      <c r="F40" s="113">
        <v>0.0</v>
      </c>
      <c r="G40" s="112">
        <f t="shared" si="1"/>
        <v>0</v>
      </c>
    </row>
    <row r="41">
      <c r="A41" s="9" t="s">
        <v>286</v>
      </c>
      <c r="B41" s="113">
        <v>0.0</v>
      </c>
      <c r="C41" s="113">
        <v>0.0</v>
      </c>
      <c r="D41" s="113">
        <v>0.0</v>
      </c>
      <c r="E41" s="113">
        <v>0.0</v>
      </c>
      <c r="F41" s="113">
        <v>0.0</v>
      </c>
      <c r="G41" s="112">
        <f t="shared" si="1"/>
        <v>0</v>
      </c>
    </row>
    <row r="42">
      <c r="A42" s="9" t="s">
        <v>287</v>
      </c>
      <c r="B42" s="113">
        <v>0.0</v>
      </c>
      <c r="C42" s="113">
        <v>0.0</v>
      </c>
      <c r="D42" s="113">
        <v>0.0</v>
      </c>
      <c r="E42" s="113">
        <v>0.0</v>
      </c>
      <c r="F42" s="113">
        <v>0.0</v>
      </c>
      <c r="G42" s="112">
        <f t="shared" si="1"/>
        <v>0</v>
      </c>
    </row>
    <row r="43">
      <c r="A43" s="9" t="s">
        <v>288</v>
      </c>
      <c r="B43" s="112">
        <f t="shared" ref="B43:G43" si="2">SUM(B38:B42)</f>
        <v>1775163.09</v>
      </c>
      <c r="C43" s="112">
        <f t="shared" si="2"/>
        <v>1610194.135</v>
      </c>
      <c r="D43" s="112">
        <f t="shared" si="2"/>
        <v>1447340.975</v>
      </c>
      <c r="E43" s="112">
        <f t="shared" si="2"/>
        <v>1291677.074</v>
      </c>
      <c r="F43" s="112">
        <f t="shared" si="2"/>
        <v>1126094.424</v>
      </c>
      <c r="G43" s="112">
        <f t="shared" si="2"/>
        <v>7250469.697</v>
      </c>
    </row>
    <row r="45">
      <c r="A45" s="23" t="s">
        <v>289</v>
      </c>
      <c r="B45" s="9">
        <v>2025.0</v>
      </c>
      <c r="C45" s="9">
        <v>2026.0</v>
      </c>
      <c r="D45" s="9">
        <v>2027.0</v>
      </c>
      <c r="E45" s="9">
        <v>2028.0</v>
      </c>
      <c r="F45" s="9">
        <v>2029.0</v>
      </c>
      <c r="G45" s="9" t="s">
        <v>61</v>
      </c>
    </row>
    <row r="46">
      <c r="A46" s="9" t="s">
        <v>290</v>
      </c>
      <c r="B46" s="112">
        <f>IFERROR(SUM(OFFSET('Profit &amp; Loss'!$A$1, MATCH("Ingreso Del Mar (Neto de Reparto)", 'Profit &amp; Loss'!$A:$A, 0)-1, 3, 1, 12)), "Revise Error")</f>
        <v>4094195.315</v>
      </c>
      <c r="C46" s="112">
        <f>IFERROR(SUM(OFFSET('Profit &amp; Loss'!$A$1, MATCH("Ingreso Del Mar (Neto de Reparto)", 'Profit &amp; Loss'!$A:$A, 0)-1, 15, 1, 12)), "Revise Error")</f>
        <v>3964001.351</v>
      </c>
      <c r="D46" s="112">
        <f>IFERROR(SUM(OFFSET('Profit &amp; Loss'!$A$1, MATCH("Ingreso Del Mar (Neto de Reparto)", 'Profit &amp; Loss'!$A:$A, 0)-1, 27, 1, 12)), "Revise Error")</f>
        <v>3839032.77</v>
      </c>
      <c r="E46" s="112">
        <f>IFERROR(SUM(OFFSET('Profit &amp; Loss'!$A$1, MATCH("Ingreso Del Mar (Neto de Reparto)", 'Profit &amp; Loss'!$A:$A, 0)-1, 39, 1, 12)), "Revise Error")</f>
        <v>3727243.625</v>
      </c>
      <c r="F46" s="112">
        <f>IFERROR(SUM(OFFSET('Profit &amp; Loss'!$A$1, MATCH("Ingreso Del Mar (Neto de Reparto)", 'Profit &amp; Loss'!$A:$A, 0)-1, 51, 1, 12)), "Revise Error")</f>
        <v>3603152.571</v>
      </c>
      <c r="G46" s="112">
        <f t="shared" ref="G46:G47" si="4">SUM(B46:F46)</f>
        <v>19227625.63</v>
      </c>
      <c r="H46" s="9" t="s">
        <v>292</v>
      </c>
    </row>
    <row r="47">
      <c r="A47" s="9" t="s">
        <v>293</v>
      </c>
      <c r="B47" s="112">
        <f t="shared" ref="B47:F47" si="3">B43</f>
        <v>1775163.09</v>
      </c>
      <c r="C47" s="112">
        <f t="shared" si="3"/>
        <v>1610194.135</v>
      </c>
      <c r="D47" s="112">
        <f t="shared" si="3"/>
        <v>1447340.975</v>
      </c>
      <c r="E47" s="112">
        <f t="shared" si="3"/>
        <v>1291677.074</v>
      </c>
      <c r="F47" s="112">
        <f t="shared" si="3"/>
        <v>1126094.424</v>
      </c>
      <c r="G47" s="112">
        <f t="shared" si="4"/>
        <v>7250469.697</v>
      </c>
    </row>
    <row r="48">
      <c r="A48" s="9" t="s">
        <v>151</v>
      </c>
      <c r="B48" s="112">
        <f t="shared" ref="B48:G48" si="5">B47/B46</f>
        <v>0.4335804604</v>
      </c>
      <c r="C48" s="112">
        <f t="shared" si="5"/>
        <v>0.4062042347</v>
      </c>
      <c r="D48" s="112">
        <f t="shared" si="5"/>
        <v>0.3770066738</v>
      </c>
      <c r="E48" s="112">
        <f t="shared" si="5"/>
        <v>0.3465502135</v>
      </c>
      <c r="F48" s="112">
        <f t="shared" si="5"/>
        <v>0.3125303194</v>
      </c>
      <c r="G48" s="112">
        <f t="shared" si="5"/>
        <v>0.3770860654</v>
      </c>
    </row>
    <row r="49">
      <c r="A49" s="9" t="s">
        <v>294</v>
      </c>
      <c r="B49" s="112">
        <f>IFERROR(IF(COLUMN(B49)-COLUMN($A49)&lt;=VidaUtilDep, -'Paso 5 Resumen Desglose de Inve'!$D$25 / VidaUtilDep, 0), "Revise Error")</f>
        <v>-230383.4209</v>
      </c>
      <c r="C49" s="112">
        <f>IFERROR(IF(COLUMN(C49)-COLUMN($A49)&lt;=VidaUtilDep, -'Paso 5 Resumen Desglose de Inve'!$D$25 / VidaUtilDep, 0), "Revise Error")</f>
        <v>-230383.4209</v>
      </c>
      <c r="D49" s="112">
        <f>IFERROR(IF(COLUMN(D49)-COLUMN($A49)&lt;=VidaUtilDep, -'Paso 5 Resumen Desglose de Inve'!$D$25 / VidaUtilDep, 0), "Revise Error")</f>
        <v>-230383.4209</v>
      </c>
      <c r="E49" s="112">
        <f>IFERROR(IF(COLUMN(E49)-COLUMN($A49)&lt;=VidaUtilDep, -'Paso 5 Resumen Desglose de Inve'!$D$25 / VidaUtilDep, 0), "Revise Error")</f>
        <v>-230383.4209</v>
      </c>
      <c r="F49" s="112">
        <f>IFERROR(IF(COLUMN(F49)-COLUMN($A49)&lt;=VidaUtilDep, -'Paso 5 Resumen Desglose de Inve'!$D$25 / VidaUtilDep, 0), "Revise Error")</f>
        <v>-230383.4209</v>
      </c>
      <c r="G49" s="112">
        <f t="shared" ref="G49:G50" si="7">SUM(B49:F49)</f>
        <v>-1151917.104</v>
      </c>
    </row>
    <row r="50">
      <c r="A50" s="34" t="s">
        <v>295</v>
      </c>
      <c r="B50" s="112">
        <f t="shared" ref="B50:F50" si="6">-B55/$B$29</f>
        <v>16376.78126</v>
      </c>
      <c r="C50" s="112">
        <f t="shared" si="6"/>
        <v>15856.0054</v>
      </c>
      <c r="D50" s="112">
        <f t="shared" si="6"/>
        <v>15356.13108</v>
      </c>
      <c r="E50" s="112">
        <f t="shared" si="6"/>
        <v>14908.9745</v>
      </c>
      <c r="F50" s="112">
        <f t="shared" si="6"/>
        <v>14412.61028</v>
      </c>
      <c r="G50" s="112">
        <f t="shared" si="7"/>
        <v>76910.50253</v>
      </c>
    </row>
    <row r="51">
      <c r="A51" s="9" t="s">
        <v>296</v>
      </c>
      <c r="B51" s="112">
        <f t="shared" ref="B51:F51" si="8">B47+B49+B50</f>
        <v>1561156.45</v>
      </c>
      <c r="C51" s="112">
        <f t="shared" si="8"/>
        <v>1395666.719</v>
      </c>
      <c r="D51" s="112">
        <f t="shared" si="8"/>
        <v>1232313.685</v>
      </c>
      <c r="E51" s="112">
        <f t="shared" si="8"/>
        <v>1076202.628</v>
      </c>
      <c r="F51" s="112">
        <f t="shared" si="8"/>
        <v>910123.6133</v>
      </c>
      <c r="G51" s="112"/>
    </row>
    <row r="52">
      <c r="A52" s="9" t="s">
        <v>298</v>
      </c>
      <c r="B52" s="112">
        <f>-MAX(0,B51)*TasaISR</f>
        <v>-468346.935</v>
      </c>
      <c r="C52" s="112">
        <f>-MAX(0,C51)*TasaISR</f>
        <v>-418700.0158</v>
      </c>
      <c r="D52" s="112">
        <f>-MAX(0,D51)*TasaISR</f>
        <v>-369694.1056</v>
      </c>
      <c r="E52" s="112">
        <f>-MAX(0,E51)*TasaISR</f>
        <v>-322860.7883</v>
      </c>
      <c r="F52" s="112">
        <f>-MAX(0,F51)*TasaISR</f>
        <v>-273037.084</v>
      </c>
      <c r="G52" s="112">
        <f t="shared" ref="G52:G55" si="10">SUM(B52:F52)</f>
        <v>-1852638.929</v>
      </c>
    </row>
    <row r="53">
      <c r="A53" s="34" t="s">
        <v>299</v>
      </c>
      <c r="B53" s="112">
        <f t="shared" ref="B53:F53" si="9">B51+B52</f>
        <v>1092809.515</v>
      </c>
      <c r="C53" s="112">
        <f t="shared" si="9"/>
        <v>976966.7035</v>
      </c>
      <c r="D53" s="112">
        <f t="shared" si="9"/>
        <v>862619.5798</v>
      </c>
      <c r="E53" s="112">
        <f t="shared" si="9"/>
        <v>753341.8393</v>
      </c>
      <c r="F53" s="112">
        <f t="shared" si="9"/>
        <v>637086.5293</v>
      </c>
      <c r="G53" s="112">
        <f t="shared" si="10"/>
        <v>4322824.167</v>
      </c>
    </row>
    <row r="54">
      <c r="A54" s="9" t="s">
        <v>300</v>
      </c>
      <c r="B54" s="112">
        <f t="shared" ref="B54:F54" si="11">-B49</f>
        <v>230383.4209</v>
      </c>
      <c r="C54" s="112">
        <f t="shared" si="11"/>
        <v>230383.4209</v>
      </c>
      <c r="D54" s="112">
        <f t="shared" si="11"/>
        <v>230383.4209</v>
      </c>
      <c r="E54" s="112">
        <f t="shared" si="11"/>
        <v>230383.4209</v>
      </c>
      <c r="F54" s="112">
        <f t="shared" si="11"/>
        <v>230383.4209</v>
      </c>
      <c r="G54" s="112">
        <f t="shared" si="10"/>
        <v>1151917.104</v>
      </c>
    </row>
    <row r="55">
      <c r="A55" s="9" t="s">
        <v>301</v>
      </c>
      <c r="B55" s="112">
        <f>-B46*PctCapexRep</f>
        <v>-81883.90631</v>
      </c>
      <c r="C55" s="112">
        <f>-C46*PctCapexRep</f>
        <v>-79280.02701</v>
      </c>
      <c r="D55" s="112">
        <f>-D46*PctCapexRep</f>
        <v>-76780.6554</v>
      </c>
      <c r="E55" s="112">
        <f>-E46*PctCapexRep</f>
        <v>-74544.8725</v>
      </c>
      <c r="F55" s="112">
        <f>-F46*PctCapexRep</f>
        <v>-72063.05142</v>
      </c>
      <c r="G55" s="112">
        <f t="shared" si="10"/>
        <v>-384552.5126</v>
      </c>
    </row>
    <row r="56">
      <c r="A56" s="9" t="s">
        <v>302</v>
      </c>
      <c r="B56" s="112">
        <f t="shared" ref="B56:F56" si="12">-B50</f>
        <v>-16376.78126</v>
      </c>
      <c r="C56" s="112">
        <f t="shared" si="12"/>
        <v>-15856.0054</v>
      </c>
      <c r="D56" s="112">
        <f t="shared" si="12"/>
        <v>-15356.13108</v>
      </c>
      <c r="E56" s="112">
        <f t="shared" si="12"/>
        <v>-14908.9745</v>
      </c>
      <c r="F56" s="112">
        <f t="shared" si="12"/>
        <v>-14412.61028</v>
      </c>
      <c r="G56" s="112"/>
    </row>
    <row r="57">
      <c r="A57" s="9" t="s">
        <v>303</v>
      </c>
      <c r="B57" s="112">
        <f>-B46*DiasCapTrab/365</f>
        <v>-336509.204</v>
      </c>
      <c r="C57" s="112">
        <f>-(C46-B46)*DiasCapTrab/365</f>
        <v>10700.87382</v>
      </c>
      <c r="D57" s="112">
        <f>-(D46-C46)*DiasCapTrab/365</f>
        <v>10271.39018</v>
      </c>
      <c r="E57" s="112">
        <f>-(E46-D46)*DiasCapTrab/365</f>
        <v>9188.148917</v>
      </c>
      <c r="F57" s="112">
        <f>-(F46-E46)*DiasCapTrab/365</f>
        <v>10199.26468</v>
      </c>
      <c r="G57" s="112">
        <f>SUM(B57:F57)</f>
        <v>-296149.5264</v>
      </c>
    </row>
    <row r="58">
      <c r="A58" s="9" t="s">
        <v>303</v>
      </c>
      <c r="B58" s="112">
        <f>-(B46*($B$31/365) - 'Paso 5 Resumen Desglose de Inve'!$D$50)</f>
        <v>82661.796</v>
      </c>
      <c r="C58" s="113">
        <f t="shared" ref="C58:F58" si="13">-(C46-B46)*$B$31/365</f>
        <v>10700.87382</v>
      </c>
      <c r="D58" s="112">
        <f t="shared" si="13"/>
        <v>10271.39018</v>
      </c>
      <c r="E58" s="112">
        <f t="shared" si="13"/>
        <v>9188.148917</v>
      </c>
      <c r="F58" s="112">
        <f t="shared" si="13"/>
        <v>10199.26468</v>
      </c>
      <c r="G58" s="112">
        <f>SUM(G53:G57)</f>
        <v>4794039.232</v>
      </c>
      <c r="H58" s="34" t="s">
        <v>304</v>
      </c>
    </row>
    <row r="59">
      <c r="A59" s="9" t="s">
        <v>305</v>
      </c>
      <c r="B59" s="112">
        <f t="shared" ref="B59:F59" si="14">B53+B54+B55+B56+B58</f>
        <v>1307594.044</v>
      </c>
      <c r="C59" s="112">
        <f t="shared" si="14"/>
        <v>1122914.966</v>
      </c>
      <c r="D59" s="112">
        <f t="shared" si="14"/>
        <v>1011137.604</v>
      </c>
      <c r="E59" s="112">
        <f t="shared" si="14"/>
        <v>903459.5621</v>
      </c>
      <c r="F59" s="112">
        <f t="shared" si="14"/>
        <v>791193.5532</v>
      </c>
    </row>
    <row r="60">
      <c r="A60" s="23" t="s">
        <v>307</v>
      </c>
    </row>
    <row r="61">
      <c r="A61" s="9" t="s">
        <v>308</v>
      </c>
      <c r="B61" s="9">
        <v>0.5</v>
      </c>
      <c r="C61" s="9">
        <v>1.5</v>
      </c>
      <c r="D61" s="9">
        <v>2.5</v>
      </c>
      <c r="E61" s="9">
        <v>3.5</v>
      </c>
      <c r="F61" s="9">
        <v>4.5</v>
      </c>
    </row>
    <row r="62">
      <c r="A62" s="9" t="s">
        <v>309</v>
      </c>
      <c r="B62" s="1">
        <f>1/(1+WACC)^B61</f>
        <v>0.9076667645</v>
      </c>
      <c r="C62" s="1">
        <f>1/(1+WACC)^C61</f>
        <v>0.7477893924</v>
      </c>
      <c r="D62" s="1">
        <f>1/(1+WACC)^D61</f>
        <v>0.6160729876</v>
      </c>
      <c r="E62" s="1">
        <f>1/(1+WACC)^E61</f>
        <v>0.507557248</v>
      </c>
      <c r="F62" s="1">
        <f>1/(1+WACC)^F61</f>
        <v>0.4181555841</v>
      </c>
    </row>
    <row r="63">
      <c r="A63" s="9" t="s">
        <v>310</v>
      </c>
      <c r="B63" s="112">
        <f t="shared" ref="B63:F63" si="15">B59*B62</f>
        <v>1186859.655</v>
      </c>
      <c r="C63" s="112">
        <f t="shared" si="15"/>
        <v>839703.9</v>
      </c>
      <c r="D63" s="112">
        <f t="shared" si="15"/>
        <v>622934.5648</v>
      </c>
      <c r="E63" s="112">
        <f t="shared" si="15"/>
        <v>458557.449</v>
      </c>
      <c r="F63" s="112">
        <f t="shared" si="15"/>
        <v>330842.0024</v>
      </c>
    </row>
    <row r="64">
      <c r="A64" s="9" t="s">
        <v>311</v>
      </c>
      <c r="B64" s="112">
        <f>B63</f>
        <v>1186859.655</v>
      </c>
      <c r="C64" s="112">
        <f t="shared" ref="C64:F64" si="16">B64+C63</f>
        <v>2026563.555</v>
      </c>
      <c r="D64" s="112">
        <f t="shared" si="16"/>
        <v>2649498.12</v>
      </c>
      <c r="E64" s="112">
        <f t="shared" si="16"/>
        <v>3108055.569</v>
      </c>
      <c r="F64" s="112">
        <f t="shared" si="16"/>
        <v>3438897.572</v>
      </c>
    </row>
    <row r="65">
      <c r="A65" s="9" t="s">
        <v>312</v>
      </c>
      <c r="B65" s="112">
        <f>SUM(B63:F63)</f>
        <v>3438897.572</v>
      </c>
      <c r="C65" s="112"/>
      <c r="D65" s="112"/>
      <c r="E65" s="112"/>
      <c r="F65" s="112"/>
    </row>
    <row r="67">
      <c r="A67" s="23" t="s">
        <v>313</v>
      </c>
    </row>
    <row r="68">
      <c r="A68" s="9" t="s">
        <v>75</v>
      </c>
      <c r="B68" s="2">
        <f>ChurnBruto</f>
        <v>0.06</v>
      </c>
    </row>
    <row r="69">
      <c r="A69" s="9" t="s">
        <v>34</v>
      </c>
      <c r="B69" s="45">
        <f>TasaReposicion</f>
        <v>0.6</v>
      </c>
    </row>
    <row r="70">
      <c r="A70" s="9" t="s">
        <v>315</v>
      </c>
      <c r="B70" s="2">
        <f>B68*(1-B69)</f>
        <v>0.024</v>
      </c>
    </row>
    <row r="71">
      <c r="A71" s="9" t="s">
        <v>316</v>
      </c>
      <c r="B71" s="2">
        <f>CrecimientoADR</f>
        <v>0.04</v>
      </c>
    </row>
    <row r="72">
      <c r="A72" s="9" t="s">
        <v>317</v>
      </c>
      <c r="B72" s="2">
        <f>B71-B70</f>
        <v>0.016</v>
      </c>
    </row>
    <row r="73">
      <c r="A73" s="9" t="s">
        <v>318</v>
      </c>
      <c r="B73" s="1" t="str">
        <f>IF(B72&lt;WACC-0.03,"OK","ALERTA: g demasiado cerca del WACC")</f>
        <v>OK</v>
      </c>
    </row>
    <row r="74">
      <c r="A74" s="9" t="s">
        <v>319</v>
      </c>
      <c r="B74" s="112">
        <f>F47</f>
        <v>1126094.424</v>
      </c>
      <c r="C74" s="9" t="s">
        <v>320</v>
      </c>
    </row>
    <row r="75">
      <c r="A75" s="9" t="s">
        <v>321</v>
      </c>
      <c r="B75" s="113">
        <f>B74*(1+B72)/(WACC-B72)</f>
        <v>5784185.716</v>
      </c>
      <c r="C75" s="9" t="s">
        <v>322</v>
      </c>
    </row>
    <row r="76">
      <c r="A76" s="9" t="s">
        <v>323</v>
      </c>
      <c r="B76" s="2">
        <f>1/(1+WACC)^5</f>
        <v>0.3795459261</v>
      </c>
    </row>
    <row r="77">
      <c r="A77" s="9" t="s">
        <v>324</v>
      </c>
      <c r="B77" s="67">
        <f>B75*B76</f>
        <v>2195364.124</v>
      </c>
    </row>
    <row r="78">
      <c r="A78" s="9" t="s">
        <v>325</v>
      </c>
      <c r="B78" s="118">
        <f>(B65+B77)/B47</f>
        <v>3.173940315</v>
      </c>
      <c r="C78" s="1" t="str">
        <f>IF(B78&gt;0.65, "ALERTA: el valor terminal domina la valuación — revisar múltiplo y horizonte", "")</f>
        <v>ALERTA: el valor terminal domina la valuación — revisar múltiplo y horizonte</v>
      </c>
    </row>
    <row r="79">
      <c r="A79" s="9" t="s">
        <v>326</v>
      </c>
      <c r="B79" s="1" t="str">
        <f>IF(AND(B78&gt;=3,B78&lt;=5),"OK — dentro del rango 3x-5x de transacciones de administradoras STR","REVISAR: fuera del rango de comparables")</f>
        <v>OK — dentro del rango 3x-5x de transacciones de administradoras STR</v>
      </c>
      <c r="C79" s="1" t="str">
        <f>IF(PlazoContrato&lt;10, "ADVERTENCIA: el múltiplo de salida asume renovación perpetua, incompatible con un plazo de "&amp;PlazoContrato&amp;" años. Ponderar hacia el método run-off.", "")</f>
        <v/>
      </c>
    </row>
    <row r="80">
      <c r="A80" s="9" t="s">
        <v>327</v>
      </c>
      <c r="B80" s="67">
        <f>B59*0.5*B62</f>
        <v>593429.8277</v>
      </c>
    </row>
    <row r="81">
      <c r="A81" s="23" t="s">
        <v>329</v>
      </c>
    </row>
    <row r="82">
      <c r="A82" s="9" t="s">
        <v>330</v>
      </c>
      <c r="B82" s="112">
        <f>B65</f>
        <v>3438897.572</v>
      </c>
    </row>
    <row r="83">
      <c r="A83" s="9" t="s">
        <v>331</v>
      </c>
      <c r="B83" s="112">
        <f>B77</f>
        <v>2195364.124</v>
      </c>
    </row>
    <row r="84">
      <c r="A84" s="9" t="s">
        <v>332</v>
      </c>
      <c r="B84" s="112">
        <f>B82+B83</f>
        <v>5634261.696</v>
      </c>
    </row>
    <row r="85">
      <c r="A85" s="9" t="s">
        <v>333</v>
      </c>
      <c r="B85" s="113">
        <v>0.0</v>
      </c>
    </row>
    <row r="86">
      <c r="A86" s="9" t="s">
        <v>334</v>
      </c>
      <c r="B86" s="112">
        <f>B84-B85</f>
        <v>5634261.696</v>
      </c>
    </row>
    <row r="88">
      <c r="A88" s="9" t="s">
        <v>336</v>
      </c>
      <c r="B88" s="1">
        <f>IFERROR(AVERAGE(OFFSET('Profit &amp; Loss'!$A$1, MATCH("({UO} | AT-AMP-02) - Analisis de Mercado [No. 1 - KIVA]", 'Profit &amp; Loss'!$B:$B, 0), 3, 1, 12)) + AVERAGE(OFFSET('Profit &amp; Loss'!$A$1, MATCH("({UO} | AT-AMP-02) - Analisis de Mercado [No. 2 - KIVA]", 'Profit &amp; Loss'!$B:$B, 0), 3, 1, 12)), "Revise Error")</f>
        <v>38.79569962</v>
      </c>
    </row>
    <row r="89">
      <c r="A89" s="9" t="s">
        <v>170</v>
      </c>
      <c r="B89" s="1">
        <f>B84/B88</f>
        <v>145229.0267</v>
      </c>
    </row>
    <row r="90">
      <c r="A90" s="9" t="s">
        <v>337</v>
      </c>
      <c r="B90" s="1">
        <f>B84/B46</f>
        <v>1.376158503</v>
      </c>
    </row>
    <row r="91">
      <c r="A91" s="9" t="s">
        <v>338</v>
      </c>
      <c r="B91" s="1">
        <f>B84/B47</f>
        <v>3.173940315</v>
      </c>
    </row>
    <row r="92">
      <c r="A92" s="9" t="s">
        <v>339</v>
      </c>
      <c r="B92" s="1">
        <f>B84/'Paso 5 Resumen Desglose de Inve'!B12</f>
        <v>313201.2414</v>
      </c>
    </row>
    <row r="93">
      <c r="A93" s="9" t="s">
        <v>340</v>
      </c>
      <c r="B93" s="1">
        <f>B89/'Paso 5 Resumen Desglose de Inve'!B12</f>
        <v>8073.09172</v>
      </c>
    </row>
    <row r="95">
      <c r="A95" s="23" t="s">
        <v>341</v>
      </c>
    </row>
    <row r="96">
      <c r="A96" s="9" t="s">
        <v>342</v>
      </c>
    </row>
    <row r="97">
      <c r="A97" s="9" t="s">
        <v>343</v>
      </c>
      <c r="B97" s="112">
        <f>B84</f>
        <v>5634261.696</v>
      </c>
      <c r="C97" s="9" t="s">
        <v>344</v>
      </c>
    </row>
    <row r="98">
      <c r="B98" s="112"/>
    </row>
    <row r="99">
      <c r="A99" s="9" t="s">
        <v>345</v>
      </c>
      <c r="B99" s="112"/>
    </row>
    <row r="100">
      <c r="A100" s="9" t="s">
        <v>346</v>
      </c>
      <c r="B100" s="112">
        <f>-'Paso 5 Resumen Desglose de Inve'!$D$77</f>
        <v>-3173369.849</v>
      </c>
      <c r="C100" s="1" t="str">
        <f>"Equipamiento ="&amp;TEXT('Paso 5 Resumen Desglose de Inve'!$D$25,"$#,##0")&amp;" · Suministros ="&amp;TEXT('Paso 5 Resumen Desglose de Inve'!$D$35,"$#,##0")&amp;" · Capital de Trabajo ="&amp;TEXT('Paso 5 Resumen Desglose de Inve'!$D$50,"$#,##0")&amp;" · Contingencia ="&amp;TEXT('Paso 5 Resumen Desglose de Inve'!$D$59,"$#,##0")&amp;" · CAC de originación ="&amp;TEXT('Paso 5 Resumen Desglose de Inve'!$D$68,"$#,##0")</f>
        <v>Equipamiento =$1,151,917 · Suministros =$285,389 · Capital de Trabajo =$419,171 · Contingencia =$582,513 · CAC de originación =$734,380</v>
      </c>
    </row>
    <row r="101">
      <c r="A101" s="9" t="s">
        <v>343</v>
      </c>
      <c r="B101" s="112">
        <f>B84</f>
        <v>5634261.696</v>
      </c>
    </row>
    <row r="102">
      <c r="A102" s="9" t="s">
        <v>347</v>
      </c>
      <c r="B102" s="112">
        <f>B101+B100</f>
        <v>2460891.847</v>
      </c>
    </row>
    <row r="103">
      <c r="A103" s="9" t="s">
        <v>348</v>
      </c>
      <c r="B103" s="112">
        <f>B101/-B100</f>
        <v>1.775482205</v>
      </c>
      <c r="C103" s="9" t="s">
        <v>349</v>
      </c>
    </row>
    <row r="105">
      <c r="A105" s="9" t="s">
        <v>350</v>
      </c>
      <c r="B105" s="9" t="s">
        <v>154</v>
      </c>
      <c r="C105" s="9" t="s">
        <v>351</v>
      </c>
      <c r="D105" s="9" t="s">
        <v>352</v>
      </c>
      <c r="E105" s="9" t="s">
        <v>353</v>
      </c>
      <c r="F105" s="9" t="s">
        <v>354</v>
      </c>
      <c r="G105" s="9" t="s">
        <v>355</v>
      </c>
    </row>
    <row r="106">
      <c r="B106" s="112">
        <f>B100</f>
        <v>-3173369.849</v>
      </c>
      <c r="C106" s="112">
        <f t="shared" ref="C106:F106" si="17">B59</f>
        <v>1307594.044</v>
      </c>
      <c r="D106" s="112">
        <f t="shared" si="17"/>
        <v>1122914.966</v>
      </c>
      <c r="E106" s="112">
        <f t="shared" si="17"/>
        <v>1011137.604</v>
      </c>
      <c r="F106" s="112">
        <f t="shared" si="17"/>
        <v>903459.5621</v>
      </c>
      <c r="G106" s="112">
        <f>F59+B70</f>
        <v>791193.5772</v>
      </c>
    </row>
    <row r="107">
      <c r="A107" s="9" t="s">
        <v>356</v>
      </c>
      <c r="B107" s="38">
        <f>IRR(B106:G106)</f>
        <v>0.2054642916</v>
      </c>
    </row>
    <row r="108">
      <c r="A108" s="9" t="s">
        <v>357</v>
      </c>
      <c r="B108" s="119">
        <f t="array" ref="B108">NPV(B18, C106:G106)*(1+B18)^0.5 + B106</f>
        <v>265527.733</v>
      </c>
      <c r="C108" s="34" t="s">
        <v>358</v>
      </c>
    </row>
    <row r="109">
      <c r="A109" s="9" t="s">
        <v>175</v>
      </c>
      <c r="B109" s="1">
        <f>SUM(C106:G106)/-B106</f>
        <v>1.61856323</v>
      </c>
    </row>
    <row r="110">
      <c r="A110" s="9" t="s">
        <v>359</v>
      </c>
      <c r="B110" s="1">
        <f>IF(C106&gt;=-B106, 1, IF(C106+D106&gt;=-B106, 2, IF(C106+D106+E106&gt;=-B106, 3, IF(C106+D106+E106+F106&gt;=-B106, 4, IF(C106+D106+E106+F106+G106&gt;=-B106, 5, "&gt;5")))))</f>
        <v>3</v>
      </c>
    </row>
    <row r="111">
      <c r="A111" s="9" t="s">
        <v>360</v>
      </c>
      <c r="B111" s="1">
        <f>IF(B63&gt;=-B106, 1, IF(B63+C63&gt;=-B106, 2, IF(B63+C63+D63&gt;=-B106, 3, IF(B63+C63+D63+E63&gt;=-B106, 4, IF(B63+C63+D63+E63+F63+B72&gt;=-B106, 5, "&gt;5")))))</f>
        <v>5</v>
      </c>
    </row>
    <row r="112">
      <c r="A112" s="9" t="s">
        <v>361</v>
      </c>
      <c r="B112" s="38">
        <f>B107-WACC</f>
        <v>-0.008335708441</v>
      </c>
    </row>
    <row r="114">
      <c r="A114" s="23" t="s">
        <v>362</v>
      </c>
    </row>
    <row r="115">
      <c r="A115" s="9" t="s">
        <v>363</v>
      </c>
      <c r="B115" s="9" t="s">
        <v>364</v>
      </c>
      <c r="C115" s="9" t="s">
        <v>365</v>
      </c>
      <c r="D115" s="9" t="s">
        <v>366</v>
      </c>
      <c r="E115" s="9" t="s">
        <v>367</v>
      </c>
    </row>
    <row r="116">
      <c r="A116" s="9" t="s">
        <v>368</v>
      </c>
      <c r="B116" s="112">
        <f>3*B47</f>
        <v>5325489.269</v>
      </c>
      <c r="C116" s="112">
        <f>3*AVERAGE(B47:F47)</f>
        <v>4350281.818</v>
      </c>
      <c r="D116" s="112"/>
      <c r="E116" s="9" t="s">
        <v>369</v>
      </c>
    </row>
    <row r="117">
      <c r="A117" s="9" t="s">
        <v>370</v>
      </c>
      <c r="B117" s="112">
        <f>4*B47</f>
        <v>7100652.359</v>
      </c>
      <c r="C117" s="112">
        <f>4*AVERAGE(B47:F47)</f>
        <v>5800375.758</v>
      </c>
      <c r="D117" s="112"/>
    </row>
    <row r="118">
      <c r="A118" s="9" t="s">
        <v>371</v>
      </c>
      <c r="B118" s="112">
        <f>5*B47</f>
        <v>8875815.448</v>
      </c>
      <c r="C118" s="112">
        <f>5*AVERAGE(B47:F47)</f>
        <v>7250469.697</v>
      </c>
      <c r="D118" s="112"/>
    </row>
    <row r="119">
      <c r="A119" s="9" t="s">
        <v>372</v>
      </c>
      <c r="B119" s="112">
        <f>7*B47</f>
        <v>12426141.63</v>
      </c>
      <c r="C119" s="112">
        <f>7*AVERAGE(B47:F47)</f>
        <v>10150657.58</v>
      </c>
      <c r="D119" s="112"/>
      <c r="E119" s="9" t="s">
        <v>373</v>
      </c>
    </row>
    <row r="120">
      <c r="A120" s="9" t="s">
        <v>374</v>
      </c>
      <c r="B120" s="112">
        <f>9*B47</f>
        <v>15976467.81</v>
      </c>
      <c r="C120" s="112">
        <f>9*AVERAGE(B47:F47)</f>
        <v>13050845.46</v>
      </c>
      <c r="D120" s="112"/>
      <c r="E120" s="9" t="s">
        <v>375</v>
      </c>
    </row>
    <row r="121">
      <c r="A121" s="9" t="s">
        <v>376</v>
      </c>
      <c r="B121" s="112"/>
      <c r="C121" s="112"/>
      <c r="D121" s="112">
        <f>1*B46</f>
        <v>4094195.315</v>
      </c>
      <c r="E121" s="9" t="s">
        <v>377</v>
      </c>
    </row>
    <row r="122">
      <c r="A122" s="9" t="s">
        <v>378</v>
      </c>
      <c r="B122" s="112"/>
      <c r="C122" s="112"/>
      <c r="D122" s="112">
        <f>1.5*B46</f>
        <v>6141292.973</v>
      </c>
    </row>
    <row r="123">
      <c r="A123" s="9" t="s">
        <v>379</v>
      </c>
      <c r="B123" s="112"/>
      <c r="C123" s="112"/>
      <c r="D123" s="112">
        <f>2*B46</f>
        <v>8188390.631</v>
      </c>
    </row>
    <row r="125">
      <c r="A125" s="9" t="s">
        <v>380</v>
      </c>
    </row>
    <row r="127">
      <c r="A127" s="23" t="s">
        <v>381</v>
      </c>
    </row>
    <row r="128">
      <c r="A128" s="9" t="s">
        <v>382</v>
      </c>
      <c r="B128" s="9" t="s">
        <v>383</v>
      </c>
      <c r="C128" s="9" t="s">
        <v>384</v>
      </c>
      <c r="D128" s="9" t="s">
        <v>385</v>
      </c>
      <c r="E128" s="9" t="s">
        <v>386</v>
      </c>
    </row>
    <row r="129">
      <c r="A129" s="9" t="s">
        <v>387</v>
      </c>
      <c r="B129" s="112">
        <f>B84</f>
        <v>5634261.696</v>
      </c>
      <c r="C129" s="112">
        <f>B84</f>
        <v>5634261.696</v>
      </c>
      <c r="D129" s="113">
        <v>0.5</v>
      </c>
      <c r="E129" s="112">
        <f t="shared" ref="E129:E133" si="18">AVERAGE(B129:C129)*D129</f>
        <v>2817130.848</v>
      </c>
    </row>
    <row r="130">
      <c r="A130" s="9" t="s">
        <v>388</v>
      </c>
      <c r="B130" s="112">
        <f>B65</f>
        <v>3438897.572</v>
      </c>
      <c r="C130" s="112">
        <f>B65</f>
        <v>3438897.572</v>
      </c>
      <c r="D130" s="113">
        <v>0.1</v>
      </c>
      <c r="E130" s="112">
        <f t="shared" si="18"/>
        <v>343889.7572</v>
      </c>
    </row>
    <row r="131">
      <c r="A131" s="9" t="s">
        <v>389</v>
      </c>
      <c r="B131" s="112">
        <f>B116</f>
        <v>5325489.269</v>
      </c>
      <c r="C131" s="112">
        <f>B118</f>
        <v>8875815.448</v>
      </c>
      <c r="D131" s="113">
        <v>0.3</v>
      </c>
      <c r="E131" s="112">
        <f t="shared" si="18"/>
        <v>2130195.708</v>
      </c>
    </row>
    <row r="132">
      <c r="A132" s="9" t="s">
        <v>390</v>
      </c>
      <c r="B132" s="112">
        <f>D121</f>
        <v>4094195.315</v>
      </c>
      <c r="C132" s="112">
        <f>D123</f>
        <v>8188390.631</v>
      </c>
      <c r="D132" s="113">
        <v>0.1</v>
      </c>
      <c r="E132" s="112">
        <f t="shared" si="18"/>
        <v>614129.2973</v>
      </c>
    </row>
    <row r="133">
      <c r="A133" s="9" t="s">
        <v>391</v>
      </c>
      <c r="B133" s="112">
        <f>B88*B34</f>
        <v>7759139.925</v>
      </c>
      <c r="C133" s="112">
        <f>B88*B35</f>
        <v>11638709.89</v>
      </c>
      <c r="D133" s="113">
        <v>0.0</v>
      </c>
      <c r="E133" s="112">
        <f t="shared" si="18"/>
        <v>0</v>
      </c>
    </row>
    <row r="134">
      <c r="A134" s="9" t="s">
        <v>393</v>
      </c>
      <c r="B134" s="112"/>
      <c r="C134" s="112"/>
      <c r="D134" s="112"/>
      <c r="E134" s="112">
        <f>SUM(E129:E133)</f>
        <v>5905345.61</v>
      </c>
    </row>
    <row r="136">
      <c r="A136" s="23" t="s">
        <v>394</v>
      </c>
    </row>
    <row r="138">
      <c r="A138" s="39" t="s">
        <v>395</v>
      </c>
    </row>
    <row r="139">
      <c r="A139" s="1" t="s">
        <v>396</v>
      </c>
    </row>
    <row r="140">
      <c r="A140" s="1" t="s">
        <v>397</v>
      </c>
      <c r="B140" s="120">
        <v>0.25</v>
      </c>
    </row>
    <row r="141">
      <c r="A141" s="1" t="s">
        <v>398</v>
      </c>
      <c r="B141" s="67">
        <f t="array" ref="B141">LET(churn_new, $B$25, take_rate_new, $B$140, delta_ocup, 0, delta_adr, 0, tr_base, $B$140, churn_base, $B$25, wacc, $B$18, tax, $B$10, mult, $B$66, cap_p, $B$30, wc_d, $B$31, init_wc, 'Paso 5 Resumen Desglose de Inve'!$D$50, fcff_array, MAP(SEQUENCE(1,5), LAMBDA(t, LET(ing_b, INDEX($B$46:$F$46, 1, t), ebitda_b, INDEX($B$47:$F$47, 1, t), dp_eq, INDEX($B$55:$F$55, 1, t), dp_cx, INDEX($B$56:$F$56, 1, t), ing_n, ing_b * (take_rate_new / tr_base) * ((1-churn_new)/(1-churn_base))^t * (1+delta_ocup) * (1+delta_adr), eb_n, ing_n - (ing_b - ebitda_b), ebit_n, eb_n - (dp_eq + dp_cx), nop_n, ebit_n - MAX(0, ebit_n)*tax, cap_n, ing_n * cap_p, ing_prev, IF(t=1, 0, INDEX($B$46:$F$46, 1, t-1) * (take_rate_new / tr_base) * ((1-churn_new)/(1-churn_base))^(t-1) * (1+delta_ocup) * (1+delta_adr)), wc_n, IF(t=1, ing_n*(wc_d/365) - init_wc, (ing_n - ing_prev)*(wc_d/365)), nop_n + dp_eq + dp_cx - cap_n - wc_n))), vp_fcff, SUM(MAP(fcff_array, SEQUENCE(1,5), LAMBDA(f, t, f / (1+wacc)^(t-0.5)))), tv_ebitda, INDEX($B$46:$F$46, 1, 5) * (take_rate_new / tr_base) * ((1-churn_new)/(1-churn_base))^5 * (1+delta_ocup) * (1+delta_adr) - (INDEX($B$46:$F$46, 1, 5) - INDEX($B$47:$F$47, 1, 5)), tv, tv_ebitda * mult, vp_tv, tv / (1+wacc)^5, vp_fcff + vp_tv)</f>
        <v>3143256.136</v>
      </c>
      <c r="C141" s="1" t="str">
        <f>IF(ABS(B141-$B$83)&lt;10, "OK", "ERROR")</f>
        <v>ERROR</v>
      </c>
    </row>
    <row r="142">
      <c r="A142" s="9" t="s">
        <v>400</v>
      </c>
    </row>
    <row r="143">
      <c r="B143" s="9">
        <v>3.0</v>
      </c>
      <c r="C143" s="9">
        <v>3.5</v>
      </c>
      <c r="D143" s="9">
        <v>4.0</v>
      </c>
      <c r="E143" s="9">
        <v>4.5</v>
      </c>
      <c r="F143" s="9">
        <v>5.0</v>
      </c>
    </row>
    <row r="144">
      <c r="A144" s="35">
        <f>WACC-0.02</f>
        <v>0.1938</v>
      </c>
      <c r="B144" s="112">
        <f t="shared" ref="B144:F144" si="19">$B$58/(1+$A144)^0.5 + $C$58/(1+$A144)^1.5 + $D$58/(1+$A144)^2.5 + $E$58/(1+$A144)^3.5 + $F$58/(1+$A144)^4.5 + ($B$68 * B$143) / (1+$A144)^5</f>
        <v>99994.25052</v>
      </c>
      <c r="C144" s="112">
        <f t="shared" si="19"/>
        <v>99994.26289</v>
      </c>
      <c r="D144" s="112">
        <f t="shared" si="19"/>
        <v>99994.27527</v>
      </c>
      <c r="E144" s="112">
        <f t="shared" si="19"/>
        <v>99994.28764</v>
      </c>
      <c r="F144" s="112">
        <f t="shared" si="19"/>
        <v>99994.30001</v>
      </c>
    </row>
    <row r="145">
      <c r="A145" s="35">
        <f>WACC-0.01</f>
        <v>0.2038</v>
      </c>
      <c r="B145" s="112">
        <f t="shared" ref="B145:F145" si="20">$B$58/(1+$A145)^0.5 + $C$58/(1+$A145)^1.5 + $D$58/(1+$A145)^2.5 + $E$58/(1+$A145)^3.5 + $F$58/(1+$A145)^4.5 + ($B$68 * B$143) / (1+$A145)^5</f>
        <v>99129.66109</v>
      </c>
      <c r="C145" s="112">
        <f t="shared" si="20"/>
        <v>99129.67296</v>
      </c>
      <c r="D145" s="112">
        <f t="shared" si="20"/>
        <v>99129.68483</v>
      </c>
      <c r="E145" s="112">
        <f t="shared" si="20"/>
        <v>99129.6967</v>
      </c>
      <c r="F145" s="112">
        <f t="shared" si="20"/>
        <v>99129.70856</v>
      </c>
    </row>
    <row r="146">
      <c r="A146" s="35">
        <f>WACC</f>
        <v>0.2138</v>
      </c>
      <c r="B146" s="112">
        <f t="shared" ref="B146:F146" si="21">$B$58/(1+$A146)^0.5 + $C$58/(1+$A146)^1.5 + $D$58/(1+$A146)^2.5 + $E$58/(1+$A146)^3.5 + $F$58/(1+$A146)^4.5 + ($B$68 * B$143) / (1+$A146)^5</f>
        <v>98287.75027</v>
      </c>
      <c r="C146" s="112">
        <f t="shared" si="21"/>
        <v>98287.76165</v>
      </c>
      <c r="D146" s="112">
        <f t="shared" si="21"/>
        <v>98287.77304</v>
      </c>
      <c r="E146" s="112">
        <f t="shared" si="21"/>
        <v>98287.78443</v>
      </c>
      <c r="F146" s="112">
        <f t="shared" si="21"/>
        <v>98287.79581</v>
      </c>
    </row>
    <row r="147">
      <c r="A147" s="35">
        <f>WACC+0.01</f>
        <v>0.2238</v>
      </c>
      <c r="B147" s="112">
        <f t="shared" ref="B147:F147" si="22">$B$58/(1+$A147)^0.5 + $C$58/(1+$A147)^1.5 + $D$58/(1+$A147)^2.5 + $E$58/(1+$A147)^3.5 + $F$58/(1+$A147)^4.5 + ($B$68 * B$143) / (1+$A147)^5</f>
        <v>97467.60771</v>
      </c>
      <c r="C147" s="112">
        <f t="shared" si="22"/>
        <v>97467.61864</v>
      </c>
      <c r="D147" s="112">
        <f t="shared" si="22"/>
        <v>97467.62957</v>
      </c>
      <c r="E147" s="112">
        <f t="shared" si="22"/>
        <v>97467.64049</v>
      </c>
      <c r="F147" s="112">
        <f t="shared" si="22"/>
        <v>97467.65142</v>
      </c>
    </row>
    <row r="148">
      <c r="A148" s="35">
        <f>WACC+0.02</f>
        <v>0.2338</v>
      </c>
      <c r="B148" s="112">
        <f t="shared" ref="B148:F148" si="23">$B$58/(1+$A148)^0.5 + $C$58/(1+$A148)^1.5 + $D$58/(1+$A148)^2.5 + $E$58/(1+$A148)^3.5 + $F$58/(1+$A148)^4.5 + ($B$68 * B$143) / (1+$A148)^5</f>
        <v>96668.36969</v>
      </c>
      <c r="C148" s="112">
        <f t="shared" si="23"/>
        <v>96668.38018</v>
      </c>
      <c r="D148" s="112">
        <f t="shared" si="23"/>
        <v>96668.39067</v>
      </c>
      <c r="E148" s="112">
        <f t="shared" si="23"/>
        <v>96668.40116</v>
      </c>
      <c r="F148" s="112">
        <f t="shared" si="23"/>
        <v>96668.41166</v>
      </c>
    </row>
    <row r="150">
      <c r="A150" s="9" t="s">
        <v>405</v>
      </c>
    </row>
    <row r="151">
      <c r="B151" s="9">
        <v>0.15</v>
      </c>
      <c r="C151" s="9">
        <v>0.2</v>
      </c>
      <c r="D151" s="9">
        <v>0.25</v>
      </c>
      <c r="E151" s="9">
        <v>0.3</v>
      </c>
      <c r="F151" s="9">
        <v>0.35</v>
      </c>
    </row>
    <row r="152">
      <c r="A152" s="9">
        <v>0.03</v>
      </c>
      <c r="B152" s="9">
        <f t="array" ref="B152:F156">MAKEARRAY(5, 5, LAMBDA(r, c, LET(churn_new, INDEX($A152:$A156, r), take_rate_new, INDEX(B$151:F$151, c), delta_ocup, 0, delta_adr, 0, tr_base, $B$140, churn_base, $B$25, wacc, $B$18, tax, $B$10, mult, $B$66, cap_p, $B$30, wc_d, $B$31, init_wc, 'Paso 5 Resumen Desglose de Inve'!$D$50, fcff_array, MAP(SEQUENCE(1,5), LAMBDA(t, LET(ing_b, INDEX($B$46:$F$46, 1, t), ebitda_b, INDEX($B$47:$F$47, 1, t), dp_eq, INDEX($B$55:$F$55, 1, t), dp_cx, INDEX($B$56:$F$56, 1, t), ing_n, ing_b * (take_rate_new / tr_base) * ((1-churn_new)/(1-churn_base))^t * (1+delta_ocup) * (1+delta_adr), eb_n, ing_n - (ing_b - ebitda_b), ebit_n, eb_n - (dp_eq + dp_cx), nop_n, ebit_n - MAX(0, ebit_n)*tax, cap_n, ing_n * cap_p, ing_prev, IF(t=1, 0, INDEX($B$46:$F$46, 1, t-1) * (take_rate_new / tr_base) * ((1-churn_new)/(1-churn_base))^(t-1) * (1+delta_ocup) * (1+delta_adr)), wc_n, IF(t=1, ing_n*(wc_d/365) - init_wc, (ing_n - ing_prev)*(wc_d/365)), nop_n + dp_eq + dp_cx - cap_n - wc_n))), vp_fcff, SUM(MAP(fcff_array, SEQUENCE(1,5), LAMBDA(f, t, f / (1+wacc)^(t-0.5)))), tv_ebitda, INDEX($B$46:$F$46, 1, 5) * (take_rate_new / tr_base) * ((1-churn_new)/(1-churn_base))^5 * (1+delta_ocup) * (1+delta_adr) - (INDEX($B$46:$F$46, 1, 5) - INDEX($B$47:$F$47, 1, 5)), tv, tv_ebitda * mult, vp_tv, tv / (1+wacc)^5, vp_fcff + vp_tv)))</f>
        <v>281891.7286</v>
      </c>
      <c r="C152" s="9">
        <v>2054682.5936028927</v>
      </c>
      <c r="D152" s="9">
        <v>3827473.458644621</v>
      </c>
      <c r="E152" s="9">
        <v>5600264.323686348</v>
      </c>
      <c r="F152" s="9">
        <v>7373055.188728076</v>
      </c>
    </row>
    <row r="153">
      <c r="A153" s="9">
        <v>0.05</v>
      </c>
      <c r="B153" s="9">
        <v>-10988.306420060908</v>
      </c>
      <c r="C153" s="9">
        <v>1685433.6500481702</v>
      </c>
      <c r="D153" s="9">
        <v>3365912.2792012184</v>
      </c>
      <c r="E153" s="9">
        <v>5046390.908354265</v>
      </c>
      <c r="F153" s="9">
        <v>6726869.537507313</v>
      </c>
    </row>
    <row r="154">
      <c r="A154" s="9">
        <v>0.07</v>
      </c>
      <c r="B154" s="9">
        <v>-345587.5085417028</v>
      </c>
      <c r="C154" s="9">
        <v>1333395.0965022554</v>
      </c>
      <c r="D154" s="9">
        <v>2925864.0872688247</v>
      </c>
      <c r="E154" s="9">
        <v>4518333.078035392</v>
      </c>
      <c r="F154" s="9">
        <v>6110802.068801961</v>
      </c>
    </row>
    <row r="155">
      <c r="A155" s="9">
        <v>0.09</v>
      </c>
      <c r="B155" s="9">
        <v>-683587.3662776053</v>
      </c>
      <c r="C155" s="9">
        <v>997844.8628824339</v>
      </c>
      <c r="D155" s="9">
        <v>2506426.295244047</v>
      </c>
      <c r="E155" s="9">
        <v>4015007.7276056604</v>
      </c>
      <c r="F155" s="9">
        <v>5523589.1599672735</v>
      </c>
    </row>
    <row r="156">
      <c r="A156" s="9">
        <v>0.11</v>
      </c>
      <c r="B156" s="9">
        <v>-1019748.8410722044</v>
      </c>
      <c r="C156" s="9">
        <v>653325.6613387819</v>
      </c>
      <c r="D156" s="9">
        <v>2106724.4221600406</v>
      </c>
      <c r="E156" s="9">
        <v>3535365.479904852</v>
      </c>
      <c r="F156" s="9">
        <v>4964006.537649666</v>
      </c>
    </row>
    <row r="158">
      <c r="A158" s="9" t="s">
        <v>406</v>
      </c>
      <c r="B158" s="34"/>
    </row>
    <row r="159">
      <c r="B159" s="121">
        <v>0.0</v>
      </c>
      <c r="C159" s="3">
        <v>0.25</v>
      </c>
      <c r="D159" s="3">
        <v>0.5</v>
      </c>
      <c r="E159" s="3">
        <v>0.75</v>
      </c>
      <c r="F159" s="3">
        <v>1.0</v>
      </c>
    </row>
    <row r="160">
      <c r="A160" s="3">
        <v>0.03</v>
      </c>
    </row>
    <row r="161">
      <c r="A161" s="3">
        <v>0.06</v>
      </c>
    </row>
    <row r="162">
      <c r="A162" s="3">
        <v>0.09</v>
      </c>
      <c r="B162" s="112"/>
      <c r="C162" s="112"/>
      <c r="D162" s="112"/>
      <c r="E162" s="112"/>
      <c r="F162" s="112"/>
    </row>
    <row r="163">
      <c r="A163" s="3">
        <v>0.12</v>
      </c>
      <c r="B163" s="112"/>
      <c r="C163" s="112"/>
      <c r="D163" s="112"/>
      <c r="E163" s="112"/>
      <c r="F163" s="112"/>
    </row>
    <row r="164">
      <c r="A164" s="3">
        <v>0.15</v>
      </c>
      <c r="B164" s="112"/>
      <c r="C164" s="112"/>
      <c r="D164" s="112"/>
      <c r="E164" s="112"/>
      <c r="F164" s="112"/>
    </row>
    <row r="165">
      <c r="A165" s="34" t="s">
        <v>408</v>
      </c>
      <c r="B165" s="112"/>
      <c r="C165" s="112"/>
      <c r="D165" s="112"/>
      <c r="E165" s="112"/>
      <c r="F165" s="112"/>
    </row>
    <row r="166">
      <c r="A166" s="9" t="s">
        <v>409</v>
      </c>
      <c r="B166" s="112"/>
      <c r="C166" s="112"/>
      <c r="D166" s="112"/>
      <c r="E166" s="112"/>
      <c r="F166" s="112"/>
    </row>
    <row r="167">
      <c r="B167" s="9">
        <v>-0.15</v>
      </c>
      <c r="C167" s="9">
        <v>-0.075</v>
      </c>
      <c r="D167" s="9">
        <v>0.0</v>
      </c>
      <c r="E167" s="9">
        <v>0.075</v>
      </c>
      <c r="F167" s="9">
        <v>0.15</v>
      </c>
    </row>
    <row r="168">
      <c r="A168" s="9">
        <v>-0.1</v>
      </c>
      <c r="B168" s="9">
        <f t="array" ref="B168:F172">MAKEARRAY(5, 5, LAMBDA(r, c, LET(churn_new, $B$25, take_rate_new, $B$140, delta_ocup, INDEX($A168:$A172, r), delta_adr, INDEX(B$167:F$167, c), tr_base, $B$140, churn_base, $B$25, wacc, $B$18, tax, $B$10, mult, $B$66, cap_p, $B$30, wc_d, $B$31, init_wc, 'Paso 5 Resumen Desglose de Inve'!$D$50, fcff_array, MAP(SEQUENCE(1,5), LAMBDA(t, LET(ing_b, INDEX($B$46:$F$46, 1, t), ebitda_b, INDEX($B$47:$F$47, 1, t), dp_eq, INDEX($B$55:$F$55, 1, t), dp_cx, INDEX($B$56:$F$56, 1, t), ing_n, ing_b * (take_rate_new / tr_base) * ((1-churn_new)/(1-churn_base))^t * (1+delta_ocup) * (1+delta_adr), eb_n, ing_n - (ing_b - ebitda_b), ebit_n, eb_n - (dp_eq + dp_cx), nop_n, ebit_n - MAX(0, ebit_n)*tax, cap_n, ing_n * cap_p, ing_prev, IF(t=1, 0, INDEX($B$46:$F$46, 1, t-1) * (take_rate_new / tr_base) * ((1-churn_new)/(1-churn_base))^(t-1) * (1+delta_ocup) * (1+delta_adr)), wc_n, IF(t=1, ing_n*(wc_d/365) - init_wc, (ing_n - ing_prev)*(wc_d/365)), nop_n + dp_eq + dp_cx - cap_n - wc_n))), vp_fcff, SUM(MAP(fcff_array, SEQUENCE(1,5), LAMBDA(f, t, f / (1+wacc)^(t-0.5)))), tv_ebitda, INDEX($B$46:$F$46, 1, 5) * (take_rate_new / tr_base) * ((1-churn_new)/(1-churn_base))^5 * (1+delta_ocup) * (1+delta_adr) - (INDEX($B$46:$F$46, 1, 5) - INDEX($B$47:$F$47, 1, 5)), tv, tv_ebitda * mult, vp_tv, tv / (1+wacc)^5, vp_fcff + vp_tv)))</f>
        <v>1221017.94</v>
      </c>
      <c r="C168" s="9">
        <v>1773150.1878985355</v>
      </c>
      <c r="D168" s="9">
        <v>2325282.435557661</v>
      </c>
      <c r="E168" s="9">
        <v>2877414.683216787</v>
      </c>
      <c r="F168" s="9">
        <v>3429546.9308759132</v>
      </c>
    </row>
    <row r="169">
      <c r="A169" s="9">
        <v>-0.05</v>
      </c>
      <c r="B169" s="9">
        <v>1568656.7628395988</v>
      </c>
      <c r="C169" s="9">
        <v>2151463.024257566</v>
      </c>
      <c r="D169" s="9">
        <v>2734269.285675532</v>
      </c>
      <c r="E169" s="9">
        <v>3317075.5470934985</v>
      </c>
      <c r="F169" s="9">
        <v>3899881.8085114644</v>
      </c>
    </row>
    <row r="170">
      <c r="A170" s="9">
        <v>0.0</v>
      </c>
      <c r="B170" s="9">
        <v>1916295.5854397898</v>
      </c>
      <c r="C170" s="9">
        <v>2529775.8606165973</v>
      </c>
      <c r="D170" s="9">
        <v>3143256.1357934037</v>
      </c>
      <c r="E170" s="9">
        <v>3756736.41097021</v>
      </c>
      <c r="F170" s="9">
        <v>4370216.6861470165</v>
      </c>
    </row>
    <row r="171">
      <c r="A171" s="9">
        <v>0.05</v>
      </c>
      <c r="B171" s="9">
        <v>2263934.4080399806</v>
      </c>
      <c r="C171" s="9">
        <v>2908088.696975629</v>
      </c>
      <c r="D171" s="9">
        <v>3552242.985911275</v>
      </c>
      <c r="E171" s="9">
        <v>4196397.274846922</v>
      </c>
      <c r="F171" s="9">
        <v>4840551.56378257</v>
      </c>
    </row>
    <row r="172">
      <c r="A172" s="9">
        <v>0.1</v>
      </c>
      <c r="B172" s="9">
        <v>2611573.2306401716</v>
      </c>
      <c r="C172" s="9">
        <v>3286401.53333466</v>
      </c>
      <c r="D172" s="9">
        <v>3961229.8360291473</v>
      </c>
      <c r="E172" s="9">
        <v>4636058.138723634</v>
      </c>
      <c r="F172" s="9">
        <v>5310886.4414181225</v>
      </c>
    </row>
    <row r="174">
      <c r="A174" s="9" t="s">
        <v>7</v>
      </c>
      <c r="B174" s="9" t="s">
        <v>24</v>
      </c>
      <c r="C174" s="9" t="s">
        <v>25</v>
      </c>
      <c r="D174" s="9" t="s">
        <v>26</v>
      </c>
    </row>
    <row r="175">
      <c r="A175" s="9" t="s">
        <v>411</v>
      </c>
      <c r="B175" s="9">
        <f t="array" ref="B175">LET(churn_new, Supuestos!B19, take_rate_new, $B$140, delta_ocup, 0, delta_adr, 0, tr_base, $B$140, churn_base, $B$25, wacc, $B$18, tax, $B$10, mult, $B$66, cap_p, $B$30, wc_d, $B$31, init_wc, 'Paso 5 Resumen Desglose de Inve'!$D$50, fcff_array, MAP(SEQUENCE(1,5), LAMBDA(t, LET(ing_b, INDEX($B$46:$F$46, 1, t), ebitda_b, INDEX($B$47:$F$47, 1, t), dp_eq, INDEX($B$55:$F$55, 1, t), dp_cx, INDEX($B$56:$F$56, 1, t), ing_n, ing_b * (take_rate_new / tr_base) * ((1-churn_new)/(1-churn_base))^t * (1+delta_ocup) * (1+delta_adr), eb_n, ing_n - (ing_b - ebitda_b), ebit_n, eb_n - (dp_eq + dp_cx), nop_n, ebit_n - MAX(0, ebit_n)*tax, cap_n, ing_n * cap_p, ing_prev, IF(t=1, 0, INDEX($B$46:$F$46, 1, t-1) * (take_rate_new / tr_base) * ((1-churn_new)/(1-churn_base))^(t-1) * (1+delta_ocup) * (1+delta_adr)), wc_n, IF(t=1, ing_n*(wc_d/365) - init_wc, (ing_n - ing_prev)*(wc_d/365)), nop_n + dp_eq + dp_cx - cap_n - wc_n))), vp_fcff, SUM(MAP(fcff_array, SEQUENCE(1,5), LAMBDA(f, t, f / (1+wacc)^(t-0.5)))), tv_ebitda, INDEX($B$46:$F$46, 1, 5) * (take_rate_new / tr_base) * ((1-churn_new)/(1-churn_base))^5 * (1+delta_ocup) * (1+delta_adr) - (INDEX($B$46:$F$46, 1, 5) - INDEX($B$47:$F$47, 1, 5)), tv, tv_ebitda * mult, vp_tv, tv / (1+wacc)^5, vp_fcff + vp_tv)</f>
        <v>2304161.939</v>
      </c>
      <c r="D175" s="9">
        <f t="array" ref="D175">LET(churn_new, Supuestos!D19, take_rate_new, $B$140, delta_ocup, 0, delta_adr, 0, tr_base, $B$140, churn_base, $B$25, wacc, $B$18, tax, $B$10, mult, $B$66, cap_p, $B$30, wc_d, $B$31, init_wc, 'Paso 5 Resumen Desglose de Inve'!$D$50, fcff_array, MAP(SEQUENCE(1,5), LAMBDA(t, LET(ing_b, INDEX($B$46:$F$46, 1, t), ebitda_b, INDEX($B$47:$F$47, 1, t), dp_eq, INDEX($B$55:$F$55, 1, t), dp_cx, INDEX($B$56:$F$56, 1, t), ing_n, ing_b * (take_rate_new / tr_base) * ((1-churn_new)/(1-churn_base))^t * (1+delta_ocup) * (1+delta_adr), eb_n, ing_n - (ing_b - ebitda_b), ebit_n, eb_n - (dp_eq + dp_cx), nop_n, ebit_n - MAX(0, ebit_n)*tax, cap_n, ing_n * cap_p, ing_prev, IF(t=1, 0, INDEX($B$46:$F$46, 1, t-1) * (take_rate_new / tr_base) * ((1-churn_new)/(1-churn_base))^(t-1) * (1+delta_ocup) * (1+delta_adr)), wc_n, IF(t=1, ing_n*(wc_d/365) - init_wc, (ing_n - ing_prev)*(wc_d/365)), nop_n + dp_eq + dp_cx - cap_n - wc_n))), vp_fcff, SUM(MAP(fcff_array, SEQUENCE(1,5), LAMBDA(f, t, f / (1+wacc)^(t-0.5)))), tv_ebitda, INDEX($B$46:$F$46, 1, 5) * (take_rate_new / tr_base) * ((1-churn_new)/(1-churn_base))^5 * (1+delta_ocup) * (1+delta_adr) - (INDEX($B$46:$F$46, 1, 5) - INDEX($B$47:$F$47, 1, 5)), tv, tv_ebitda * mult, vp_tv, tv / (1+wacc)^5, vp_fcff + vp_tv)</f>
        <v>3827473.459</v>
      </c>
    </row>
    <row r="176">
      <c r="A176" s="9" t="s">
        <v>417</v>
      </c>
      <c r="C176" s="1">
        <f>B91</f>
        <v>3.173940315</v>
      </c>
    </row>
    <row r="177">
      <c r="A177" s="9" t="s">
        <v>170</v>
      </c>
      <c r="C177" s="1">
        <f>B89</f>
        <v>145229.0267</v>
      </c>
    </row>
    <row r="178">
      <c r="A178" s="9" t="s">
        <v>418</v>
      </c>
      <c r="C178" s="112">
        <f>F47</f>
        <v>1126094.424</v>
      </c>
    </row>
    <row r="179">
      <c r="C179" s="112"/>
    </row>
    <row r="180">
      <c r="A180" s="23" t="s">
        <v>419</v>
      </c>
      <c r="C180" s="112"/>
    </row>
    <row r="181">
      <c r="A181" s="9" t="s">
        <v>420</v>
      </c>
      <c r="B181" s="1" t="str">
        <f>IF(ABS(B84 - (B82+B83))&lt;1, "OK", "ERROR")</f>
        <v>OK</v>
      </c>
      <c r="C181" s="112"/>
    </row>
    <row r="182">
      <c r="A182" s="9" t="s">
        <v>421</v>
      </c>
      <c r="B182" s="1" t="str">
        <f>IF(ABS(G47 - SUM(OFFSET('Profit &amp; Loss'!$A$1, MATCH("EBITDA", 'Profit &amp; Loss'!$A:$A, 0)-1, 3, 1, 60)))&lt;1, "OK", "ERROR")</f>
        <v>OK</v>
      </c>
      <c r="C182" s="112"/>
    </row>
    <row r="183">
      <c r="A183" s="9" t="s">
        <v>422</v>
      </c>
      <c r="B183" s="1" t="str">
        <f>IF(ABS(B59-(B53+B54+B55+B56+B58))&lt;1,"OK","ERROR")</f>
        <v>OK</v>
      </c>
    </row>
    <row r="184">
      <c r="A184" s="9" t="s">
        <v>423</v>
      </c>
      <c r="B184" s="1" t="str">
        <f>IF(AND(B91&gt;=3, B91&lt;=9), "OK", "ALERTA")</f>
        <v>OK</v>
      </c>
    </row>
    <row r="185">
      <c r="A185" s="9" t="s">
        <v>424</v>
      </c>
      <c r="B185" s="1" t="str">
        <f>IF(C22="PENDIENTE DE VALIDAR — driver #1 del valor. Revisar contrato firmado.", "PENDIENTE", "OK")</f>
        <v>PENDIENTE</v>
      </c>
    </row>
    <row r="186">
      <c r="A186" s="9" t="s">
        <v>425</v>
      </c>
      <c r="B186" s="1" t="str">
        <f>IF(C26="PENDIENTE — define valor residual transferible de 'Paso 5'!D25", "PENDIENTE", "OK")</f>
        <v>PENDIENTE</v>
      </c>
    </row>
    <row r="187">
      <c r="A187" s="9" t="s">
        <v>426</v>
      </c>
      <c r="B187" s="1" t="str">
        <f t="array" ref="B187">IF(SUM(N(ISERROR(A1:F186)))&gt;0, "ALERTA", "OK")</f>
        <v>OK</v>
      </c>
    </row>
    <row r="189">
      <c r="A189" s="9" t="s">
        <v>427</v>
      </c>
      <c r="B189" s="24">
        <f>TODAY()</f>
        <v>46302</v>
      </c>
    </row>
    <row r="190">
      <c r="A190" s="9" t="s">
        <v>428</v>
      </c>
      <c r="B190" s="9" t="s">
        <v>429</v>
      </c>
    </row>
    <row r="194">
      <c r="A194" s="39" t="s">
        <v>430</v>
      </c>
    </row>
    <row r="195">
      <c r="A195" s="1" t="s">
        <v>431</v>
      </c>
      <c r="B195" s="67">
        <f>B83</f>
        <v>2195364.124</v>
      </c>
    </row>
    <row r="196">
      <c r="A196" s="1" t="s">
        <v>432</v>
      </c>
      <c r="B196" s="67">
        <f>4*AVERAGE(B47:F47)</f>
        <v>5800375.758</v>
      </c>
    </row>
    <row r="197">
      <c r="A197" s="1" t="s">
        <v>433</v>
      </c>
      <c r="B197" s="67">
        <f>B195-B196</f>
        <v>-3605011.634</v>
      </c>
    </row>
    <row r="198">
      <c r="A198" s="1" t="s">
        <v>434</v>
      </c>
      <c r="B198" s="1" t="str">
        <f>IF(B197&gt;0, "El DCF arroja un valor superior a la norma del mercado. Justificar primas.", "El DCF es conservador respecto al mercado.")</f>
        <v>El DCF es conservador respecto al mercado.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74.25"/>
    <col customWidth="1" min="2" max="2" width="22.0"/>
    <col customWidth="1" min="3" max="3" width="13.5"/>
    <col customWidth="1" min="4" max="4" width="15.13"/>
    <col customWidth="1" min="5" max="5" width="39.88"/>
  </cols>
  <sheetData>
    <row r="1" ht="113.25" customHeight="1">
      <c r="A1" s="11"/>
    </row>
    <row r="2" ht="22.5" customHeight="1">
      <c r="A2" s="129" t="s">
        <v>435</v>
      </c>
    </row>
    <row r="3" ht="22.5" customHeight="1">
      <c r="A3" s="130" t="s">
        <v>436</v>
      </c>
      <c r="B3" s="17" t="s">
        <v>437</v>
      </c>
      <c r="C3" s="17"/>
      <c r="D3" s="68"/>
      <c r="E3" s="131" t="s">
        <v>438</v>
      </c>
    </row>
    <row r="4">
      <c r="A4" s="132" t="s">
        <v>439</v>
      </c>
      <c r="B4" s="133">
        <f>IFERROR('Profit &amp; Loss'!G9,"")</f>
        <v>24.32601356</v>
      </c>
      <c r="C4" s="134"/>
      <c r="D4" s="134"/>
      <c r="E4" s="135" t="s">
        <v>440</v>
      </c>
    </row>
    <row r="5">
      <c r="A5" s="132" t="s">
        <v>441</v>
      </c>
      <c r="B5" s="133">
        <f>IFERROR('Profit &amp; Loss'!G14,"")</f>
        <v>14.9698545</v>
      </c>
      <c r="C5" s="134"/>
      <c r="D5" s="134"/>
      <c r="E5" s="135" t="s">
        <v>442</v>
      </c>
    </row>
    <row r="6">
      <c r="A6" s="132" t="s">
        <v>443</v>
      </c>
      <c r="B6" s="133" t="str">
        <f>IFERROR(#REF!,"")</f>
        <v/>
      </c>
      <c r="C6" s="134"/>
      <c r="D6" s="134"/>
      <c r="E6" s="135" t="s">
        <v>444</v>
      </c>
    </row>
    <row r="7">
      <c r="A7" s="136" t="s">
        <v>445</v>
      </c>
      <c r="B7" s="137">
        <f>B4+B5+B6</f>
        <v>39.29586806</v>
      </c>
      <c r="C7" s="137"/>
      <c r="D7" s="137"/>
      <c r="E7" s="138"/>
    </row>
    <row r="8">
      <c r="A8" s="139"/>
      <c r="B8" s="140"/>
      <c r="C8" s="140"/>
      <c r="D8" s="140"/>
      <c r="E8" s="141"/>
    </row>
    <row r="9" ht="22.5" customHeight="1">
      <c r="A9" s="130" t="s">
        <v>446</v>
      </c>
      <c r="B9" s="142"/>
      <c r="C9" s="142"/>
      <c r="D9" s="68"/>
      <c r="E9" s="131"/>
    </row>
    <row r="10">
      <c r="A10" s="132" t="s">
        <v>447</v>
      </c>
      <c r="B10" s="143">
        <v>3.0</v>
      </c>
      <c r="C10" s="134"/>
      <c r="D10" s="134"/>
      <c r="E10" s="135" t="s">
        <v>448</v>
      </c>
    </row>
    <row r="11">
      <c r="A11" s="132" t="s">
        <v>449</v>
      </c>
      <c r="B11" s="144">
        <v>0.15</v>
      </c>
      <c r="C11" s="134"/>
      <c r="D11" s="134"/>
      <c r="E11" s="135" t="s">
        <v>450</v>
      </c>
    </row>
    <row r="12">
      <c r="A12" s="132" t="s">
        <v>451</v>
      </c>
      <c r="B12" s="145">
        <f>IFERROR(__xludf.DUMMYFUNCTION("GOOGLEFINANCE(""CURRENCY:USDMXN"")"),17.98927)</f>
        <v>17.98927</v>
      </c>
      <c r="C12" s="134"/>
      <c r="D12" s="134"/>
      <c r="E12" s="135" t="s">
        <v>452</v>
      </c>
    </row>
    <row r="13">
      <c r="A13" s="139"/>
      <c r="B13" s="140"/>
      <c r="C13" s="140"/>
      <c r="D13" s="140"/>
      <c r="E13" s="141"/>
    </row>
    <row r="14" ht="22.5" customHeight="1">
      <c r="A14" s="130" t="s">
        <v>453</v>
      </c>
      <c r="B14" s="142"/>
      <c r="C14" s="142"/>
      <c r="D14" s="68"/>
      <c r="E14" s="131"/>
    </row>
    <row r="15">
      <c r="A15" s="70" t="s">
        <v>454</v>
      </c>
      <c r="B15" s="146" t="s">
        <v>455</v>
      </c>
      <c r="C15" s="146" t="s">
        <v>456</v>
      </c>
      <c r="D15" s="146" t="s">
        <v>457</v>
      </c>
      <c r="E15" s="147" t="s">
        <v>458</v>
      </c>
    </row>
    <row r="16">
      <c r="A16" s="132" t="s">
        <v>459</v>
      </c>
      <c r="B16" s="148">
        <v>254368.51200000002</v>
      </c>
      <c r="C16" s="149">
        <v>1.0</v>
      </c>
      <c r="D16" s="148">
        <f>B16*C16</f>
        <v>254368.512</v>
      </c>
      <c r="E16" s="150" t="s">
        <v>460</v>
      </c>
    </row>
    <row r="17">
      <c r="A17" s="132" t="s">
        <v>461</v>
      </c>
      <c r="B17" s="148">
        <v>145926.144</v>
      </c>
      <c r="C17" s="149">
        <v>1.0</v>
      </c>
      <c r="D17" s="151">
        <v>150313.0</v>
      </c>
      <c r="E17" s="150" t="s">
        <v>462</v>
      </c>
    </row>
    <row r="18">
      <c r="A18" s="132" t="s">
        <v>463</v>
      </c>
      <c r="B18" s="148"/>
      <c r="C18" s="143">
        <v>0.0</v>
      </c>
      <c r="D18" s="148">
        <f t="shared" ref="D18:D24" si="1">B18*C18</f>
        <v>0</v>
      </c>
      <c r="E18" s="150"/>
    </row>
    <row r="19">
      <c r="A19" s="132" t="s">
        <v>464</v>
      </c>
      <c r="B19" s="151">
        <v>56697.0</v>
      </c>
      <c r="C19" s="149">
        <v>0.0</v>
      </c>
      <c r="D19" s="148">
        <f t="shared" si="1"/>
        <v>0</v>
      </c>
      <c r="E19" s="150" t="s">
        <v>465</v>
      </c>
    </row>
    <row r="20">
      <c r="A20" s="132" t="s">
        <v>466</v>
      </c>
      <c r="B20" s="151">
        <v>174364.0</v>
      </c>
      <c r="C20" s="143">
        <v>1.0</v>
      </c>
      <c r="D20" s="148">
        <f t="shared" si="1"/>
        <v>174364</v>
      </c>
      <c r="E20" s="150"/>
    </row>
    <row r="21">
      <c r="A21" s="132" t="s">
        <v>467</v>
      </c>
      <c r="B21" s="148">
        <v>126619.33900000002</v>
      </c>
      <c r="C21" s="143">
        <v>1.0</v>
      </c>
      <c r="D21" s="148">
        <f t="shared" si="1"/>
        <v>126619.339</v>
      </c>
      <c r="E21" s="150"/>
    </row>
    <row r="22">
      <c r="A22" s="132" t="s">
        <v>468</v>
      </c>
      <c r="B22" s="148">
        <v>50000.0</v>
      </c>
      <c r="C22" s="149">
        <v>0.0</v>
      </c>
      <c r="D22" s="148">
        <f t="shared" si="1"/>
        <v>0</v>
      </c>
      <c r="E22" s="150"/>
    </row>
    <row r="23">
      <c r="A23" s="132" t="s">
        <v>469</v>
      </c>
      <c r="B23" s="151">
        <v>313.0</v>
      </c>
      <c r="C23" s="143">
        <f>(B7*2)</f>
        <v>78.59173613</v>
      </c>
      <c r="D23" s="148">
        <f t="shared" si="1"/>
        <v>24599.21341</v>
      </c>
      <c r="E23" s="150"/>
    </row>
    <row r="24">
      <c r="A24" s="132" t="s">
        <v>470</v>
      </c>
      <c r="B24" s="148">
        <v>421653.04</v>
      </c>
      <c r="C24" s="143">
        <v>1.0</v>
      </c>
      <c r="D24" s="148">
        <f t="shared" si="1"/>
        <v>421653.04</v>
      </c>
      <c r="E24" s="150" t="s">
        <v>471</v>
      </c>
    </row>
    <row r="25">
      <c r="A25" s="136" t="s">
        <v>472</v>
      </c>
      <c r="B25" s="137"/>
      <c r="C25" s="137"/>
      <c r="D25" s="137">
        <f>SUM(D16:D24)</f>
        <v>1151917.104</v>
      </c>
      <c r="E25" s="138"/>
    </row>
    <row r="26">
      <c r="A26" s="139"/>
      <c r="B26" s="140"/>
      <c r="C26" s="140"/>
      <c r="D26" s="140"/>
      <c r="E26" s="141"/>
    </row>
    <row r="27" ht="22.5" customHeight="1">
      <c r="A27" s="130" t="s">
        <v>473</v>
      </c>
      <c r="B27" s="142"/>
      <c r="C27" s="142"/>
      <c r="D27" s="68"/>
      <c r="E27" s="131"/>
    </row>
    <row r="28">
      <c r="A28" s="70" t="s">
        <v>454</v>
      </c>
      <c r="B28" s="146" t="s">
        <v>455</v>
      </c>
      <c r="C28" s="146" t="s">
        <v>456</v>
      </c>
      <c r="D28" s="146" t="s">
        <v>457</v>
      </c>
      <c r="E28" s="147" t="s">
        <v>458</v>
      </c>
    </row>
    <row r="29">
      <c r="A29" s="132" t="s">
        <v>474</v>
      </c>
      <c r="B29" s="148">
        <v>22506.18</v>
      </c>
      <c r="C29" s="152">
        <v>3.0</v>
      </c>
      <c r="D29" s="148">
        <f t="shared" ref="D29:D34" si="2">B29*C29</f>
        <v>67518.54</v>
      </c>
      <c r="E29" s="150"/>
    </row>
    <row r="30">
      <c r="A30" s="132" t="s">
        <v>475</v>
      </c>
      <c r="B30" s="148">
        <v>78774.79</v>
      </c>
      <c r="C30" s="153">
        <v>1.0</v>
      </c>
      <c r="D30" s="148">
        <f t="shared" si="2"/>
        <v>78774.79</v>
      </c>
      <c r="E30" s="150"/>
    </row>
    <row r="31">
      <c r="A31" s="132" t="s">
        <v>476</v>
      </c>
      <c r="B31" s="148">
        <v>35000.0</v>
      </c>
      <c r="C31" s="152">
        <v>2.0</v>
      </c>
      <c r="D31" s="148">
        <f t="shared" si="2"/>
        <v>70000</v>
      </c>
      <c r="E31" s="150"/>
    </row>
    <row r="32">
      <c r="A32" s="132" t="s">
        <v>477</v>
      </c>
      <c r="B32" s="148">
        <v>1900.0</v>
      </c>
      <c r="C32" s="153">
        <v>1.0</v>
      </c>
      <c r="D32" s="148">
        <f t="shared" si="2"/>
        <v>1900</v>
      </c>
      <c r="E32" s="150"/>
    </row>
    <row r="33">
      <c r="A33" s="132" t="s">
        <v>478</v>
      </c>
      <c r="B33" s="148">
        <v>47547.5</v>
      </c>
      <c r="C33" s="153">
        <v>1.0</v>
      </c>
      <c r="D33" s="148">
        <f t="shared" si="2"/>
        <v>47547.5</v>
      </c>
      <c r="E33" s="150"/>
    </row>
    <row r="34">
      <c r="A34" s="132" t="s">
        <v>479</v>
      </c>
      <c r="B34" s="151">
        <v>500.0</v>
      </c>
      <c r="C34" s="153">
        <f>B7</f>
        <v>39.29586806</v>
      </c>
      <c r="D34" s="148">
        <f t="shared" si="2"/>
        <v>19647.93403</v>
      </c>
      <c r="E34" s="150"/>
    </row>
    <row r="35">
      <c r="A35" s="136" t="s">
        <v>480</v>
      </c>
      <c r="B35" s="137"/>
      <c r="C35" s="137"/>
      <c r="D35" s="154">
        <f>SUM(D29:D34)</f>
        <v>285388.764</v>
      </c>
      <c r="E35" s="138"/>
    </row>
    <row r="36">
      <c r="A36" s="139"/>
      <c r="B36" s="140"/>
      <c r="C36" s="140"/>
      <c r="D36" s="140"/>
      <c r="E36" s="141"/>
    </row>
    <row r="37" ht="22.5" customHeight="1">
      <c r="A37" s="130" t="s">
        <v>481</v>
      </c>
      <c r="B37" s="142"/>
      <c r="C37" s="142"/>
      <c r="D37" s="68"/>
      <c r="E37" s="131"/>
    </row>
    <row r="38">
      <c r="A38" s="70" t="s">
        <v>482</v>
      </c>
      <c r="B38" s="146" t="s">
        <v>483</v>
      </c>
      <c r="C38" s="146" t="s">
        <v>484</v>
      </c>
      <c r="D38" s="146" t="s">
        <v>485</v>
      </c>
      <c r="E38" s="147" t="s">
        <v>486</v>
      </c>
    </row>
    <row r="39">
      <c r="A39" s="155" t="s">
        <v>487</v>
      </c>
      <c r="B39" s="156">
        <f>'Paso 4 Calculo de Gastos Nomina'!I5</f>
        <v>25100</v>
      </c>
      <c r="C39" s="153">
        <v>1.0</v>
      </c>
      <c r="D39" s="148">
        <f>IFERROR(B39*C39*$B10, 0)</f>
        <v>75300</v>
      </c>
      <c r="E39" s="150" t="s">
        <v>490</v>
      </c>
    </row>
    <row r="40">
      <c r="A40" s="132" t="s">
        <v>491</v>
      </c>
      <c r="B40" s="156">
        <f>'Paso 4 Calculo de Gastos Nomina'!I6</f>
        <v>17000</v>
      </c>
      <c r="C40" s="153">
        <v>1.0</v>
      </c>
      <c r="D40" s="148">
        <f>IFERROR(B40*C40*$B10, 0)</f>
        <v>51000</v>
      </c>
      <c r="E40" s="150" t="s">
        <v>493</v>
      </c>
    </row>
    <row r="41">
      <c r="A41" s="132" t="s">
        <v>494</v>
      </c>
      <c r="B41" s="156">
        <f>'Paso 4 Calculo de Gastos Nomina'!I7</f>
        <v>15000</v>
      </c>
      <c r="C41" s="153">
        <v>3.0</v>
      </c>
      <c r="D41" s="148">
        <f>IFERROR(B41*C41*$B10, 0)</f>
        <v>135000</v>
      </c>
      <c r="E41" s="150" t="s">
        <v>495</v>
      </c>
    </row>
    <row r="42">
      <c r="A42" s="155" t="s">
        <v>496</v>
      </c>
      <c r="B42" s="156">
        <f>'Paso 4 Calculo de Gastos Nomina'!I8</f>
        <v>0</v>
      </c>
      <c r="C42" s="153">
        <v>1.0</v>
      </c>
      <c r="D42" s="148">
        <f>IFERROR(B42*C42*$B10, 0)</f>
        <v>0</v>
      </c>
      <c r="E42" s="150" t="s">
        <v>490</v>
      </c>
    </row>
    <row r="43">
      <c r="A43" s="132" t="s">
        <v>497</v>
      </c>
      <c r="B43" s="156">
        <f>'Paso 4 Calculo de Gastos Nomina'!I9</f>
        <v>0</v>
      </c>
      <c r="C43" s="153">
        <v>1.0</v>
      </c>
      <c r="D43" s="148">
        <f>IFERROR(B43*C43*$B10, 0)</f>
        <v>0</v>
      </c>
      <c r="E43" s="150" t="s">
        <v>493</v>
      </c>
    </row>
    <row r="44">
      <c r="A44" s="155" t="s">
        <v>498</v>
      </c>
      <c r="B44" s="156">
        <f>'Paso 4 Calculo de Gastos Nomina'!I10</f>
        <v>200</v>
      </c>
      <c r="C44" s="153">
        <v>1.0</v>
      </c>
      <c r="D44" s="148">
        <f>IFERROR(B44*C44*$B10, 0)</f>
        <v>600</v>
      </c>
      <c r="E44" s="150" t="s">
        <v>490</v>
      </c>
    </row>
    <row r="45">
      <c r="A45" s="155" t="s">
        <v>501</v>
      </c>
      <c r="B45" s="156">
        <f>'Paso 4 Calculo de Gastos Nomina'!I11</f>
        <v>15000</v>
      </c>
      <c r="C45" s="153">
        <v>1.0</v>
      </c>
      <c r="D45" s="148">
        <f>IFERROR(B45*C45*$B10, 0)</f>
        <v>45000</v>
      </c>
      <c r="E45" s="150" t="s">
        <v>502</v>
      </c>
    </row>
    <row r="46">
      <c r="A46" s="155" t="s">
        <v>503</v>
      </c>
      <c r="B46" s="156">
        <f>'Paso 4 Calculo de Gastos Nomina'!I12</f>
        <v>9000</v>
      </c>
      <c r="C46" s="153">
        <v>1.0</v>
      </c>
      <c r="D46" s="148">
        <f>IFERROR(B46*C46*$B10, 0)</f>
        <v>27000</v>
      </c>
      <c r="E46" s="150" t="s">
        <v>502</v>
      </c>
    </row>
    <row r="47">
      <c r="A47" s="132" t="s">
        <v>504</v>
      </c>
      <c r="B47" s="156">
        <f>'Paso 4 Calculo de Gastos Nomina'!I13</f>
        <v>11757</v>
      </c>
      <c r="C47" s="153">
        <v>1.0</v>
      </c>
      <c r="D47" s="148">
        <f>IFERROR(B47*C47*$B10, 0)</f>
        <v>35271</v>
      </c>
      <c r="E47" s="150" t="s">
        <v>506</v>
      </c>
    </row>
    <row r="48">
      <c r="A48" s="136" t="s">
        <v>507</v>
      </c>
      <c r="B48" s="158"/>
      <c r="C48" s="159"/>
      <c r="D48" s="154">
        <f>SUM(D39:D47)</f>
        <v>369171</v>
      </c>
      <c r="E48" s="138"/>
    </row>
    <row r="49">
      <c r="A49" s="132" t="s">
        <v>508</v>
      </c>
      <c r="B49" s="160">
        <v>50000.0</v>
      </c>
      <c r="C49" s="161"/>
      <c r="D49" s="148">
        <f>B49</f>
        <v>50000</v>
      </c>
      <c r="E49" s="150" t="s">
        <v>509</v>
      </c>
    </row>
    <row r="50">
      <c r="A50" s="136" t="s">
        <v>511</v>
      </c>
      <c r="B50" s="137"/>
      <c r="C50" s="158"/>
      <c r="D50" s="154">
        <f>D48+D49</f>
        <v>419171</v>
      </c>
      <c r="E50" s="138"/>
    </row>
    <row r="51">
      <c r="A51" s="139"/>
      <c r="B51" s="140"/>
      <c r="C51" s="140"/>
      <c r="D51" s="140"/>
      <c r="E51" s="141"/>
    </row>
    <row r="52" ht="22.5" customHeight="1">
      <c r="A52" s="130" t="s">
        <v>514</v>
      </c>
      <c r="B52" s="142"/>
      <c r="C52" s="142"/>
      <c r="D52" s="68"/>
      <c r="E52" s="131"/>
    </row>
    <row r="53">
      <c r="A53" s="132" t="s">
        <v>515</v>
      </c>
      <c r="B53" s="134"/>
      <c r="C53" s="134"/>
      <c r="D53" s="148">
        <f>D25*$B11</f>
        <v>172787.5657</v>
      </c>
      <c r="E53" s="150" t="s">
        <v>516</v>
      </c>
    </row>
    <row r="54">
      <c r="A54" s="132" t="s">
        <v>517</v>
      </c>
      <c r="B54" s="134"/>
      <c r="C54" s="134"/>
      <c r="D54" s="148">
        <f>D35*$B11</f>
        <v>42808.3146</v>
      </c>
      <c r="E54" s="150" t="s">
        <v>518</v>
      </c>
    </row>
    <row r="55">
      <c r="A55" s="132" t="s">
        <v>519</v>
      </c>
      <c r="B55" s="134"/>
      <c r="C55" s="134"/>
      <c r="D55" s="148">
        <f>D50*0.1</f>
        <v>41917.1</v>
      </c>
      <c r="E55" s="150" t="s">
        <v>520</v>
      </c>
    </row>
    <row r="56">
      <c r="A56" s="132" t="s">
        <v>521</v>
      </c>
      <c r="B56" s="134"/>
      <c r="C56" s="134"/>
      <c r="D56" s="162">
        <v>200000.0</v>
      </c>
      <c r="E56" s="150" t="s">
        <v>522</v>
      </c>
    </row>
    <row r="57">
      <c r="A57" s="132" t="s">
        <v>523</v>
      </c>
      <c r="B57" s="134"/>
      <c r="C57" s="134"/>
      <c r="D57" s="162">
        <v>75000.0</v>
      </c>
      <c r="E57" s="150" t="s">
        <v>524</v>
      </c>
    </row>
    <row r="58">
      <c r="A58" s="132" t="s">
        <v>525</v>
      </c>
      <c r="B58" s="134"/>
      <c r="C58" s="134"/>
      <c r="D58" s="162">
        <v>50000.0</v>
      </c>
      <c r="E58" s="150" t="s">
        <v>526</v>
      </c>
    </row>
    <row r="59">
      <c r="A59" s="136" t="s">
        <v>527</v>
      </c>
      <c r="B59" s="137"/>
      <c r="C59" s="137"/>
      <c r="D59" s="154">
        <f>SUM(D53:D58)</f>
        <v>582512.9803</v>
      </c>
      <c r="E59" s="138"/>
    </row>
    <row r="60">
      <c r="A60" s="139"/>
      <c r="B60" s="140"/>
      <c r="C60" s="140"/>
      <c r="D60" s="140"/>
      <c r="E60" s="141"/>
    </row>
    <row r="61">
      <c r="A61" s="130" t="s">
        <v>528</v>
      </c>
      <c r="B61" s="142"/>
      <c r="C61" s="142"/>
      <c r="D61" s="68"/>
      <c r="E61" s="131"/>
    </row>
    <row r="62">
      <c r="A62" s="70" t="s">
        <v>454</v>
      </c>
      <c r="B62" s="146" t="s">
        <v>455</v>
      </c>
      <c r="C62" s="146" t="s">
        <v>456</v>
      </c>
      <c r="D62" s="146" t="s">
        <v>457</v>
      </c>
      <c r="E62" s="147" t="s">
        <v>458</v>
      </c>
    </row>
    <row r="63">
      <c r="A63" s="132" t="s">
        <v>529</v>
      </c>
      <c r="B63" s="164">
        <v>1500.0</v>
      </c>
      <c r="C63" s="165">
        <v>89.0</v>
      </c>
      <c r="D63" s="168">
        <f t="shared" ref="D63:D67" si="3">B63*C63</f>
        <v>133500</v>
      </c>
      <c r="E63" s="170" t="s">
        <v>537</v>
      </c>
    </row>
    <row r="64">
      <c r="A64" s="132" t="s">
        <v>538</v>
      </c>
      <c r="B64" s="164">
        <v>4500.0</v>
      </c>
      <c r="C64" s="165">
        <v>89.0</v>
      </c>
      <c r="D64" s="168">
        <f t="shared" si="3"/>
        <v>400500</v>
      </c>
      <c r="E64" s="170" t="s">
        <v>537</v>
      </c>
    </row>
    <row r="65">
      <c r="A65" s="132" t="s">
        <v>539</v>
      </c>
      <c r="B65" s="164">
        <v>100000.0</v>
      </c>
      <c r="C65" s="171">
        <v>1.0</v>
      </c>
      <c r="D65" s="168">
        <f t="shared" si="3"/>
        <v>100000</v>
      </c>
      <c r="E65" s="170" t="s">
        <v>537</v>
      </c>
    </row>
    <row r="66">
      <c r="A66" s="132" t="s">
        <v>541</v>
      </c>
      <c r="B66" s="156">
        <v>3460.0</v>
      </c>
      <c r="C66" s="171">
        <v>3.0</v>
      </c>
      <c r="D66" s="168">
        <f t="shared" si="3"/>
        <v>10380</v>
      </c>
      <c r="E66" s="170" t="s">
        <v>537</v>
      </c>
    </row>
    <row r="67">
      <c r="A67" s="132" t="s">
        <v>542</v>
      </c>
      <c r="B67" s="156">
        <v>30000.0</v>
      </c>
      <c r="C67" s="165">
        <v>3.0</v>
      </c>
      <c r="D67" s="168">
        <f t="shared" si="3"/>
        <v>90000</v>
      </c>
      <c r="E67" s="170" t="s">
        <v>537</v>
      </c>
    </row>
    <row r="68">
      <c r="A68" s="136" t="s">
        <v>543</v>
      </c>
      <c r="B68" s="137"/>
      <c r="C68" s="137"/>
      <c r="D68" s="154">
        <f>SUM(D63:D67)</f>
        <v>734380</v>
      </c>
      <c r="E68" s="138"/>
    </row>
    <row r="69">
      <c r="A69" s="139"/>
      <c r="B69" s="140"/>
      <c r="C69" s="140"/>
      <c r="D69" s="140"/>
      <c r="E69" s="141"/>
    </row>
    <row r="70">
      <c r="A70" s="172" t="s">
        <v>544</v>
      </c>
    </row>
    <row r="71">
      <c r="A71" s="173" t="s">
        <v>545</v>
      </c>
      <c r="B71" s="134"/>
      <c r="C71" s="134"/>
      <c r="D71" s="174">
        <f>D25</f>
        <v>1151917.104</v>
      </c>
      <c r="E71" s="175"/>
    </row>
    <row r="72">
      <c r="A72" s="173" t="s">
        <v>546</v>
      </c>
      <c r="B72" s="134"/>
      <c r="C72" s="134"/>
      <c r="D72" s="174">
        <f>D35</f>
        <v>285388.764</v>
      </c>
      <c r="E72" s="175"/>
    </row>
    <row r="73">
      <c r="A73" s="173" t="s">
        <v>547</v>
      </c>
      <c r="B73" s="134"/>
      <c r="C73" s="134"/>
      <c r="D73" s="174">
        <f>D50</f>
        <v>419171</v>
      </c>
      <c r="E73" s="175"/>
    </row>
    <row r="74">
      <c r="A74" s="173" t="s">
        <v>548</v>
      </c>
      <c r="B74" s="134"/>
      <c r="C74" s="134"/>
      <c r="D74" s="174">
        <f>D59</f>
        <v>582512.9803</v>
      </c>
      <c r="E74" s="175"/>
    </row>
    <row r="75">
      <c r="A75" s="176" t="s">
        <v>549</v>
      </c>
      <c r="B75" s="140"/>
      <c r="C75" s="140"/>
      <c r="D75" s="177">
        <f>D68</f>
        <v>734380</v>
      </c>
      <c r="E75" s="141"/>
    </row>
    <row r="76">
      <c r="A76" s="139"/>
      <c r="B76" s="140"/>
      <c r="C76" s="140"/>
      <c r="D76" s="140"/>
      <c r="E76" s="141"/>
    </row>
    <row r="77">
      <c r="A77" s="130" t="s">
        <v>550</v>
      </c>
      <c r="B77" s="134"/>
      <c r="C77" s="134"/>
      <c r="D77" s="178">
        <f>SUM(D71:D75)</f>
        <v>3173369.849</v>
      </c>
      <c r="E77" s="175"/>
    </row>
    <row r="78">
      <c r="A78" s="70" t="s">
        <v>551</v>
      </c>
      <c r="B78" s="134"/>
      <c r="C78" s="134"/>
      <c r="D78" s="180">
        <f>D77/$B12</f>
        <v>176403.481</v>
      </c>
      <c r="E78" s="175"/>
    </row>
    <row r="79">
      <c r="A79" s="139"/>
      <c r="B79" s="140"/>
      <c r="C79" s="140"/>
      <c r="D79" s="140"/>
      <c r="E79" s="141"/>
    </row>
  </sheetData>
  <mergeCells count="3">
    <mergeCell ref="A1:E1"/>
    <mergeCell ref="A2:E2"/>
    <mergeCell ref="A70:E70"/>
  </mergeCells>
  <hyperlinks>
    <hyperlink r:id="rId1" ref="A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3" width="20.75"/>
    <col customWidth="1" min="4" max="4" width="26.75"/>
    <col customWidth="1" min="5" max="9" width="20.75"/>
    <col customWidth="1" min="10" max="10" width="47.88"/>
    <col customWidth="1" min="11" max="11" width="49.38"/>
    <col customWidth="1" min="12" max="12" width="48.0"/>
    <col customWidth="1" min="13" max="13" width="47.0"/>
    <col customWidth="1" min="14" max="14" width="47.38"/>
    <col customWidth="1" min="15" max="15" width="47.63"/>
    <col customWidth="1" min="16" max="16" width="47.0"/>
    <col customWidth="1" min="17" max="17" width="48.88"/>
    <col customWidth="1" min="18" max="18" width="52.25"/>
    <col customWidth="1" min="19" max="19" width="49.5"/>
    <col customWidth="1" min="20" max="20" width="51.75"/>
    <col customWidth="1" min="21" max="21" width="51.25"/>
  </cols>
  <sheetData>
    <row r="1" ht="25.5" customHeight="1">
      <c r="A1" s="182" t="s">
        <v>40</v>
      </c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 t="str">
        <f>"Q"&amp;ROUNDUP(MONTH(V$2)/3, 0)&amp;" "&amp;YEAR(V$2)
</f>
        <v>Q1 2025</v>
      </c>
      <c r="Y1" s="183" t="str">
        <f>"Q"&amp;ROUNDUP(MONTH(Y$2)/3, 0)&amp;" "&amp;YEAR(Y$2)
</f>
        <v>Q2 2025</v>
      </c>
      <c r="AB1" s="183" t="str">
        <f>"Q"&amp;ROUNDUP(MONTH(AB$2)/3, 0)&amp;" "&amp;YEAR(AB$2)
</f>
        <v>Q3 2025</v>
      </c>
      <c r="AE1" s="183" t="str">
        <f>"Q"&amp;ROUNDUP(MONTH(AE$2)/3, 0)&amp;" "&amp;YEAR(AE$2)
</f>
        <v>Q4 2025</v>
      </c>
      <c r="AH1" s="183" t="str">
        <f>"Q"&amp;ROUNDUP(MONTH(AH$2)/3, 0)&amp;" "&amp;YEAR(AH$2)
</f>
        <v>Q2 2028</v>
      </c>
      <c r="AK1" s="183" t="str">
        <f>"Q"&amp;ROUNDUP(MONTH(AK$2)/3, 0)&amp;" "&amp;YEAR(AK$2)
</f>
        <v>Q3 2028</v>
      </c>
      <c r="AN1" s="183" t="str">
        <f>"Q"&amp;ROUNDUP(MONTH(AN$2)/3, 0)&amp;" "&amp;YEAR(AN$2)
</f>
        <v>Q4 2028</v>
      </c>
      <c r="AQ1" s="183" t="str">
        <f>"Q"&amp;ROUNDUP(MONTH(AQ$2)/3, 0)&amp;" "&amp;YEAR(AQ$2)
</f>
        <v>Q1 2029</v>
      </c>
      <c r="AT1" s="183" t="str">
        <f>"Q"&amp;ROUNDUP(MONTH(AT$2)/3, 0)&amp;" "&amp;YEAR(AT$2)
</f>
        <v>Q2 2029</v>
      </c>
      <c r="AW1" s="183" t="str">
        <f>"Q"&amp;ROUNDUP(MONTH(AW$2)/3, 0)&amp;" "&amp;YEAR(AW$2)
</f>
        <v>Q3 2029</v>
      </c>
      <c r="AZ1" s="183" t="str">
        <f>"Q"&amp;ROUNDUP(MONTH(AZ$2)/3, 0)&amp;" "&amp;YEAR(AZ$2)
</f>
        <v>Q4 2029</v>
      </c>
      <c r="BC1" s="183" t="str">
        <f>"Q"&amp;ROUNDUP(MONTH(BC$2)/3, 0)&amp;" "&amp;YEAR(BC$2)
</f>
        <v>Q1 2030</v>
      </c>
    </row>
    <row r="2" ht="25.5" customHeight="1"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8">
        <v>45658.0</v>
      </c>
      <c r="W2" s="188">
        <v>45689.0</v>
      </c>
      <c r="X2" s="188">
        <v>45717.0</v>
      </c>
      <c r="Y2" s="188">
        <v>45748.0</v>
      </c>
      <c r="Z2" s="188">
        <v>45778.0</v>
      </c>
      <c r="AA2" s="188">
        <v>45809.0</v>
      </c>
      <c r="AB2" s="188">
        <v>45839.0</v>
      </c>
      <c r="AC2" s="188">
        <v>45870.0</v>
      </c>
      <c r="AD2" s="188">
        <v>45901.0</v>
      </c>
      <c r="AE2" s="188">
        <v>45931.0</v>
      </c>
      <c r="AF2" s="188">
        <v>45962.0</v>
      </c>
      <c r="AG2" s="188">
        <v>45992.0</v>
      </c>
      <c r="AH2" s="188">
        <v>46905.0</v>
      </c>
      <c r="AI2" s="188">
        <v>46935.0</v>
      </c>
      <c r="AJ2" s="188">
        <v>46966.0</v>
      </c>
      <c r="AK2" s="188">
        <v>46997.0</v>
      </c>
      <c r="AL2" s="188">
        <v>47027.0</v>
      </c>
      <c r="AM2" s="188">
        <v>47058.0</v>
      </c>
      <c r="AN2" s="188">
        <v>47088.0</v>
      </c>
      <c r="AO2" s="188">
        <v>47119.0</v>
      </c>
      <c r="AP2" s="188">
        <v>47150.0</v>
      </c>
      <c r="AQ2" s="188">
        <v>47178.0</v>
      </c>
      <c r="AR2" s="188">
        <v>47209.0</v>
      </c>
      <c r="AS2" s="188">
        <v>47239.0</v>
      </c>
      <c r="AT2" s="188">
        <v>47270.0</v>
      </c>
      <c r="AU2" s="188">
        <v>47300.0</v>
      </c>
      <c r="AV2" s="188">
        <v>47331.0</v>
      </c>
      <c r="AW2" s="188">
        <v>47362.0</v>
      </c>
      <c r="AX2" s="188">
        <v>47392.0</v>
      </c>
      <c r="AY2" s="188">
        <v>47423.0</v>
      </c>
      <c r="AZ2" s="188">
        <v>47453.0</v>
      </c>
      <c r="BA2" s="188">
        <v>47484.0</v>
      </c>
      <c r="BB2" s="188">
        <v>47515.0</v>
      </c>
      <c r="BC2" s="188">
        <v>47543.0</v>
      </c>
      <c r="BD2" s="188">
        <v>47574.0</v>
      </c>
      <c r="BE2" s="188">
        <v>47604.0</v>
      </c>
    </row>
    <row r="3" ht="25.5" customHeight="1">
      <c r="A3" s="183" t="s">
        <v>557</v>
      </c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7">
        <f>IFERROR(('Profit &amp; Loss'!D9+'Profit &amp; Loss'!D14),"0")</f>
        <v>39.9</v>
      </c>
      <c r="W3" s="17">
        <f>IFERROR(('Profit &amp; Loss'!E9+'Profit &amp; Loss'!E14),"0")</f>
        <v>39.69086866</v>
      </c>
      <c r="X3" s="17">
        <f>IFERROR(('Profit &amp; Loss'!F9+'Profit &amp; Loss'!F14),"0")</f>
        <v>39.50291815</v>
      </c>
      <c r="Y3" s="17">
        <f>IFERROR(('Profit &amp; Loss'!G9+'Profit &amp; Loss'!G14),"0")</f>
        <v>39.29586806</v>
      </c>
      <c r="Z3" s="17">
        <f>IFERROR(('Profit &amp; Loss'!H9+'Profit &amp; Loss'!H14),"0")</f>
        <v>39.09653036</v>
      </c>
      <c r="AA3" s="17">
        <f>IFERROR(('Profit &amp; Loss'!I9+'Profit &amp; Loss'!I14),"0")</f>
        <v>38.89161031</v>
      </c>
      <c r="AB3" s="17">
        <f>IFERROR(('Profit &amp; Loss'!J9+'Profit &amp; Loss'!J14),"0")</f>
        <v>38.6943233</v>
      </c>
      <c r="AC3" s="17">
        <f>IFERROR(('Profit &amp; Loss'!K9+'Profit &amp; Loss'!K14),"0")</f>
        <v>38.49151138</v>
      </c>
      <c r="AD3" s="17">
        <f>IFERROR(('Profit &amp; Loss'!L9+'Profit &amp; Loss'!L14),"0")</f>
        <v>38.28976247</v>
      </c>
      <c r="AE3" s="17">
        <f>IFERROR(('Profit &amp; Loss'!M9+'Profit &amp; Loss'!M14),"0")</f>
        <v>38.09552847</v>
      </c>
      <c r="AF3" s="17">
        <f>IFERROR(('Profit &amp; Loss'!N9+'Profit &amp; Loss'!N14),"0")</f>
        <v>37.89585507</v>
      </c>
      <c r="AG3" s="17">
        <f>IFERROR(('Profit &amp; Loss'!O9+'Profit &amp; Loss'!O14),"0")</f>
        <v>37.70361926</v>
      </c>
      <c r="AH3" s="17" t="str">
        <f t="shared" ref="AH3:BE3" si="1">IFERROR((#REF!+#REF!),"0")</f>
        <v>0</v>
      </c>
      <c r="AI3" s="17" t="str">
        <f t="shared" si="1"/>
        <v>0</v>
      </c>
      <c r="AJ3" s="17" t="str">
        <f t="shared" si="1"/>
        <v>0</v>
      </c>
      <c r="AK3" s="17" t="str">
        <f t="shared" si="1"/>
        <v>0</v>
      </c>
      <c r="AL3" s="17" t="str">
        <f t="shared" si="1"/>
        <v>0</v>
      </c>
      <c r="AM3" s="17" t="str">
        <f t="shared" si="1"/>
        <v>0</v>
      </c>
      <c r="AN3" s="17" t="str">
        <f t="shared" si="1"/>
        <v>0</v>
      </c>
      <c r="AO3" s="17" t="str">
        <f t="shared" si="1"/>
        <v>0</v>
      </c>
      <c r="AP3" s="17" t="str">
        <f t="shared" si="1"/>
        <v>0</v>
      </c>
      <c r="AQ3" s="17" t="str">
        <f t="shared" si="1"/>
        <v>0</v>
      </c>
      <c r="AR3" s="17" t="str">
        <f t="shared" si="1"/>
        <v>0</v>
      </c>
      <c r="AS3" s="17" t="str">
        <f t="shared" si="1"/>
        <v>0</v>
      </c>
      <c r="AT3" s="17" t="str">
        <f t="shared" si="1"/>
        <v>0</v>
      </c>
      <c r="AU3" s="17" t="str">
        <f t="shared" si="1"/>
        <v>0</v>
      </c>
      <c r="AV3" s="17" t="str">
        <f t="shared" si="1"/>
        <v>0</v>
      </c>
      <c r="AW3" s="17" t="str">
        <f t="shared" si="1"/>
        <v>0</v>
      </c>
      <c r="AX3" s="17" t="str">
        <f t="shared" si="1"/>
        <v>0</v>
      </c>
      <c r="AY3" s="17" t="str">
        <f t="shared" si="1"/>
        <v>0</v>
      </c>
      <c r="AZ3" s="17" t="str">
        <f t="shared" si="1"/>
        <v>0</v>
      </c>
      <c r="BA3" s="17" t="str">
        <f t="shared" si="1"/>
        <v>0</v>
      </c>
      <c r="BB3" s="17" t="str">
        <f t="shared" si="1"/>
        <v>0</v>
      </c>
      <c r="BC3" s="17" t="str">
        <f t="shared" si="1"/>
        <v>0</v>
      </c>
      <c r="BD3" s="17" t="str">
        <f t="shared" si="1"/>
        <v>0</v>
      </c>
      <c r="BE3" s="17" t="str">
        <f t="shared" si="1"/>
        <v>0</v>
      </c>
    </row>
    <row r="4" ht="25.5" customHeight="1">
      <c r="A4" s="183" t="s">
        <v>560</v>
      </c>
      <c r="B4" s="183" t="s">
        <v>561</v>
      </c>
      <c r="C4" s="183" t="s">
        <v>562</v>
      </c>
      <c r="D4" s="183" t="s">
        <v>563</v>
      </c>
      <c r="E4" s="183" t="s">
        <v>564</v>
      </c>
      <c r="F4" s="183" t="s">
        <v>565</v>
      </c>
      <c r="G4" s="183" t="s">
        <v>566</v>
      </c>
      <c r="H4" s="183" t="s">
        <v>567</v>
      </c>
      <c r="I4" s="183" t="s">
        <v>568</v>
      </c>
      <c r="J4" s="183" t="s">
        <v>569</v>
      </c>
      <c r="K4" s="183" t="s">
        <v>570</v>
      </c>
      <c r="L4" s="183" t="s">
        <v>571</v>
      </c>
      <c r="M4" s="183" t="s">
        <v>572</v>
      </c>
      <c r="N4" s="183" t="s">
        <v>573</v>
      </c>
      <c r="O4" s="183" t="s">
        <v>574</v>
      </c>
      <c r="P4" s="183" t="s">
        <v>575</v>
      </c>
      <c r="Q4" s="183" t="s">
        <v>576</v>
      </c>
      <c r="R4" s="183" t="s">
        <v>577</v>
      </c>
      <c r="S4" s="183" t="s">
        <v>578</v>
      </c>
      <c r="T4" s="183" t="s">
        <v>579</v>
      </c>
      <c r="U4" s="183" t="s">
        <v>580</v>
      </c>
      <c r="V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</row>
    <row r="5" ht="25.5" customHeight="1">
      <c r="A5" s="189">
        <v>1.0</v>
      </c>
      <c r="B5" s="189">
        <v>1.0</v>
      </c>
      <c r="C5" s="189">
        <v>100.0</v>
      </c>
      <c r="D5" s="190"/>
      <c r="E5" s="191">
        <v>21100.0</v>
      </c>
      <c r="F5" s="191">
        <v>4000.0</v>
      </c>
      <c r="G5" s="191">
        <v>0.0</v>
      </c>
      <c r="H5" s="191">
        <v>0.0</v>
      </c>
      <c r="I5" s="191">
        <f t="shared" ref="I5:I14" si="4">(E5+H5)+F5+G5</f>
        <v>25100</v>
      </c>
      <c r="J5" s="192">
        <v>0.0</v>
      </c>
      <c r="K5" s="192">
        <v>0.0</v>
      </c>
      <c r="L5" s="192">
        <v>0.0</v>
      </c>
      <c r="M5" s="192">
        <v>0.0</v>
      </c>
      <c r="N5" s="192">
        <v>0.0</v>
      </c>
      <c r="O5" s="192">
        <v>0.0</v>
      </c>
      <c r="P5" s="192">
        <v>0.0</v>
      </c>
      <c r="Q5" s="192">
        <v>0.0</v>
      </c>
      <c r="R5" s="192">
        <v>0.0</v>
      </c>
      <c r="S5" s="192">
        <v>0.0</v>
      </c>
      <c r="T5" s="192">
        <v>0.0</v>
      </c>
      <c r="U5" s="192">
        <v>0.0</v>
      </c>
      <c r="V5" s="193">
        <f t="shared" ref="V5:AG5" si="2">IFERROR(((IF(V$3/$C5 &lt; $A5, $A5, IF(V$3/$C5 &gt; $B5, $B5, V$3/$C5)))*$I5),0)*(1+J5)
</f>
        <v>25100</v>
      </c>
      <c r="W5" s="193">
        <f t="shared" si="2"/>
        <v>25100</v>
      </c>
      <c r="X5" s="193">
        <f t="shared" si="2"/>
        <v>25100</v>
      </c>
      <c r="Y5" s="193">
        <f t="shared" si="2"/>
        <v>25100</v>
      </c>
      <c r="Z5" s="193">
        <f t="shared" si="2"/>
        <v>25100</v>
      </c>
      <c r="AA5" s="193">
        <f t="shared" si="2"/>
        <v>25100</v>
      </c>
      <c r="AB5" s="193">
        <f t="shared" si="2"/>
        <v>25100</v>
      </c>
      <c r="AC5" s="193">
        <f t="shared" si="2"/>
        <v>25100</v>
      </c>
      <c r="AD5" s="193">
        <f t="shared" si="2"/>
        <v>25100</v>
      </c>
      <c r="AE5" s="193">
        <f t="shared" si="2"/>
        <v>25100</v>
      </c>
      <c r="AF5" s="193">
        <f t="shared" si="2"/>
        <v>25100</v>
      </c>
      <c r="AG5" s="193">
        <f t="shared" si="2"/>
        <v>25100</v>
      </c>
      <c r="AH5" s="193">
        <f t="shared" ref="AH5:BE5" si="3">IFERROR(((IF(AH$3/$C5 &lt; $A5, $A5, IF(AH$3/$C5 &gt; $B5, $B5, AH$3/$C5)))*$I5),0)
</f>
        <v>25100</v>
      </c>
      <c r="AI5" s="193">
        <f t="shared" si="3"/>
        <v>25100</v>
      </c>
      <c r="AJ5" s="193">
        <f t="shared" si="3"/>
        <v>25100</v>
      </c>
      <c r="AK5" s="193">
        <f t="shared" si="3"/>
        <v>25100</v>
      </c>
      <c r="AL5" s="193">
        <f t="shared" si="3"/>
        <v>25100</v>
      </c>
      <c r="AM5" s="193">
        <f t="shared" si="3"/>
        <v>25100</v>
      </c>
      <c r="AN5" s="193">
        <f t="shared" si="3"/>
        <v>25100</v>
      </c>
      <c r="AO5" s="193">
        <f t="shared" si="3"/>
        <v>25100</v>
      </c>
      <c r="AP5" s="193">
        <f t="shared" si="3"/>
        <v>25100</v>
      </c>
      <c r="AQ5" s="193">
        <f t="shared" si="3"/>
        <v>25100</v>
      </c>
      <c r="AR5" s="193">
        <f t="shared" si="3"/>
        <v>25100</v>
      </c>
      <c r="AS5" s="193">
        <f t="shared" si="3"/>
        <v>25100</v>
      </c>
      <c r="AT5" s="193">
        <f t="shared" si="3"/>
        <v>25100</v>
      </c>
      <c r="AU5" s="193">
        <f t="shared" si="3"/>
        <v>25100</v>
      </c>
      <c r="AV5" s="193">
        <f t="shared" si="3"/>
        <v>25100</v>
      </c>
      <c r="AW5" s="193">
        <f t="shared" si="3"/>
        <v>25100</v>
      </c>
      <c r="AX5" s="193">
        <f t="shared" si="3"/>
        <v>25100</v>
      </c>
      <c r="AY5" s="193">
        <f t="shared" si="3"/>
        <v>25100</v>
      </c>
      <c r="AZ5" s="193">
        <f t="shared" si="3"/>
        <v>25100</v>
      </c>
      <c r="BA5" s="193">
        <f t="shared" si="3"/>
        <v>25100</v>
      </c>
      <c r="BB5" s="193">
        <f t="shared" si="3"/>
        <v>25100</v>
      </c>
      <c r="BC5" s="193">
        <f t="shared" si="3"/>
        <v>25100</v>
      </c>
      <c r="BD5" s="193">
        <f t="shared" si="3"/>
        <v>25100</v>
      </c>
      <c r="BE5" s="193">
        <f t="shared" si="3"/>
        <v>25100</v>
      </c>
    </row>
    <row r="6" ht="25.5" customHeight="1">
      <c r="A6" s="194">
        <v>1.0</v>
      </c>
      <c r="B6" s="194">
        <v>5.0</v>
      </c>
      <c r="C6" s="194">
        <v>32.0</v>
      </c>
      <c r="D6" s="195"/>
      <c r="E6" s="168">
        <v>15000.0</v>
      </c>
      <c r="F6" s="168">
        <v>2000.0</v>
      </c>
      <c r="G6" s="168">
        <v>0.0</v>
      </c>
      <c r="H6" s="168">
        <v>0.0</v>
      </c>
      <c r="I6" s="191">
        <f t="shared" si="4"/>
        <v>17000</v>
      </c>
      <c r="J6" s="196">
        <v>0.2892</v>
      </c>
      <c r="K6" s="196">
        <v>0.3408</v>
      </c>
      <c r="L6" s="196">
        <v>0.2222</v>
      </c>
      <c r="M6" s="196">
        <v>0.0148</v>
      </c>
      <c r="N6" s="196">
        <v>-0.0732</v>
      </c>
      <c r="O6" s="196">
        <v>-0.1104</v>
      </c>
      <c r="P6" s="196">
        <v>-0.0148</v>
      </c>
      <c r="Q6" s="196">
        <v>-0.1427</v>
      </c>
      <c r="R6" s="196">
        <v>-0.2888</v>
      </c>
      <c r="S6" s="196">
        <v>-0.0314</v>
      </c>
      <c r="T6" s="196">
        <v>0.2439</v>
      </c>
      <c r="U6" s="196">
        <v>0.2484</v>
      </c>
      <c r="V6" s="193">
        <f t="shared" ref="V6:AG6" si="5">IFERROR(((IF(V$3/$C6 &lt; $A6, $A6, IF(V$3/$C6 &gt; $B6, $B6, V$3/$C6)))*$I6),0)*(1+J6)
</f>
        <v>27327.01125</v>
      </c>
      <c r="W6" s="193">
        <f t="shared" si="5"/>
        <v>28271.80575</v>
      </c>
      <c r="X6" s="193">
        <f t="shared" si="5"/>
        <v>25648.99786</v>
      </c>
      <c r="Y6" s="193">
        <f t="shared" si="5"/>
        <v>21184.89367</v>
      </c>
      <c r="Z6" s="193">
        <f t="shared" si="5"/>
        <v>19249.66543</v>
      </c>
      <c r="AA6" s="193">
        <f t="shared" si="5"/>
        <v>18380.17503</v>
      </c>
      <c r="AB6" s="193">
        <f t="shared" si="5"/>
        <v>20252.12514</v>
      </c>
      <c r="AC6" s="193">
        <f t="shared" si="5"/>
        <v>17530.598</v>
      </c>
      <c r="AD6" s="193">
        <f t="shared" si="5"/>
        <v>14466.8295</v>
      </c>
      <c r="AE6" s="193">
        <f t="shared" si="5"/>
        <v>19602.76847</v>
      </c>
      <c r="AF6" s="193">
        <f t="shared" si="5"/>
        <v>25042.41</v>
      </c>
      <c r="AG6" s="193">
        <f t="shared" si="5"/>
        <v>25005.51159</v>
      </c>
      <c r="AH6" s="193">
        <f t="shared" ref="AH6:BE6" si="6">IFERROR(((IF(AH$3/$C6 &lt; $A6, $A6, IF(AH$3/$C6 &gt; $B6, $B6, AH$3/$C6)))*$I6),0)
</f>
        <v>17000</v>
      </c>
      <c r="AI6" s="193">
        <f t="shared" si="6"/>
        <v>17000</v>
      </c>
      <c r="AJ6" s="193">
        <f t="shared" si="6"/>
        <v>17000</v>
      </c>
      <c r="AK6" s="193">
        <f t="shared" si="6"/>
        <v>17000</v>
      </c>
      <c r="AL6" s="193">
        <f t="shared" si="6"/>
        <v>17000</v>
      </c>
      <c r="AM6" s="193">
        <f t="shared" si="6"/>
        <v>17000</v>
      </c>
      <c r="AN6" s="193">
        <f t="shared" si="6"/>
        <v>17000</v>
      </c>
      <c r="AO6" s="193">
        <f t="shared" si="6"/>
        <v>17000</v>
      </c>
      <c r="AP6" s="193">
        <f t="shared" si="6"/>
        <v>17000</v>
      </c>
      <c r="AQ6" s="193">
        <f t="shared" si="6"/>
        <v>17000</v>
      </c>
      <c r="AR6" s="193">
        <f t="shared" si="6"/>
        <v>17000</v>
      </c>
      <c r="AS6" s="193">
        <f t="shared" si="6"/>
        <v>17000</v>
      </c>
      <c r="AT6" s="193">
        <f t="shared" si="6"/>
        <v>17000</v>
      </c>
      <c r="AU6" s="193">
        <f t="shared" si="6"/>
        <v>17000</v>
      </c>
      <c r="AV6" s="193">
        <f t="shared" si="6"/>
        <v>17000</v>
      </c>
      <c r="AW6" s="193">
        <f t="shared" si="6"/>
        <v>17000</v>
      </c>
      <c r="AX6" s="193">
        <f t="shared" si="6"/>
        <v>17000</v>
      </c>
      <c r="AY6" s="193">
        <f t="shared" si="6"/>
        <v>17000</v>
      </c>
      <c r="AZ6" s="193">
        <f t="shared" si="6"/>
        <v>17000</v>
      </c>
      <c r="BA6" s="193">
        <f t="shared" si="6"/>
        <v>17000</v>
      </c>
      <c r="BB6" s="193">
        <f t="shared" si="6"/>
        <v>17000</v>
      </c>
      <c r="BC6" s="193">
        <f t="shared" si="6"/>
        <v>17000</v>
      </c>
      <c r="BD6" s="193">
        <f t="shared" si="6"/>
        <v>17000</v>
      </c>
      <c r="BE6" s="193">
        <f t="shared" si="6"/>
        <v>17000</v>
      </c>
    </row>
    <row r="7" ht="25.5" customHeight="1">
      <c r="A7" s="194">
        <v>3.0</v>
      </c>
      <c r="B7" s="194">
        <v>1000.0</v>
      </c>
      <c r="C7" s="194">
        <v>8.0</v>
      </c>
      <c r="D7" s="195"/>
      <c r="E7" s="168">
        <v>13000.0</v>
      </c>
      <c r="F7" s="168">
        <v>2000.0</v>
      </c>
      <c r="G7" s="168">
        <v>0.0</v>
      </c>
      <c r="H7" s="168">
        <v>0.0</v>
      </c>
      <c r="I7" s="191">
        <f t="shared" si="4"/>
        <v>15000</v>
      </c>
      <c r="J7" s="196">
        <v>0.2892</v>
      </c>
      <c r="K7" s="196">
        <v>0.3408</v>
      </c>
      <c r="L7" s="196">
        <v>0.2222</v>
      </c>
      <c r="M7" s="196">
        <v>0.0148</v>
      </c>
      <c r="N7" s="196">
        <v>-0.0732</v>
      </c>
      <c r="O7" s="196">
        <v>-0.1104</v>
      </c>
      <c r="P7" s="196">
        <v>-0.0148</v>
      </c>
      <c r="Q7" s="196">
        <v>-0.1427</v>
      </c>
      <c r="R7" s="196">
        <v>-0.2888</v>
      </c>
      <c r="S7" s="196">
        <v>-0.0314</v>
      </c>
      <c r="T7" s="196">
        <v>0.2439</v>
      </c>
      <c r="U7" s="196">
        <v>0.2484</v>
      </c>
      <c r="V7" s="193">
        <f t="shared" ref="V7:AG7" si="7">IFERROR(((IF(V$3/$C7 &lt; $A7, $A7, IF(V$3/$C7 &gt; $B7, $B7, V$3/$C7)))*$I7),0)*(1+J7)
</f>
        <v>96448.275</v>
      </c>
      <c r="W7" s="193">
        <f t="shared" si="7"/>
        <v>99782.84381</v>
      </c>
      <c r="X7" s="193">
        <f t="shared" si="7"/>
        <v>90525.8748</v>
      </c>
      <c r="Y7" s="193">
        <f t="shared" si="7"/>
        <v>74770.21296</v>
      </c>
      <c r="Z7" s="193">
        <f t="shared" si="7"/>
        <v>67939.99563</v>
      </c>
      <c r="AA7" s="193">
        <f t="shared" si="7"/>
        <v>64871.206</v>
      </c>
      <c r="AB7" s="193">
        <f t="shared" si="7"/>
        <v>71478.08872</v>
      </c>
      <c r="AC7" s="193">
        <f t="shared" si="7"/>
        <v>61872.69882</v>
      </c>
      <c r="AD7" s="193">
        <f t="shared" si="7"/>
        <v>51059.39825</v>
      </c>
      <c r="AE7" s="193">
        <f t="shared" si="7"/>
        <v>69186.24165</v>
      </c>
      <c r="AF7" s="193">
        <f t="shared" si="7"/>
        <v>88384.97647</v>
      </c>
      <c r="AG7" s="193">
        <f t="shared" si="7"/>
        <v>88254.74678</v>
      </c>
      <c r="AH7" s="193">
        <f t="shared" ref="AH7:BE7" si="8">IFERROR(((IF(AH$3/$C7 &lt; $A7, $A7, IF(AH$3/$C7 &gt; $B7, $B7, AH$3/$C7)))*$I7),0)
</f>
        <v>45000</v>
      </c>
      <c r="AI7" s="193">
        <f t="shared" si="8"/>
        <v>45000</v>
      </c>
      <c r="AJ7" s="193">
        <f t="shared" si="8"/>
        <v>45000</v>
      </c>
      <c r="AK7" s="193">
        <f t="shared" si="8"/>
        <v>45000</v>
      </c>
      <c r="AL7" s="193">
        <f t="shared" si="8"/>
        <v>45000</v>
      </c>
      <c r="AM7" s="193">
        <f t="shared" si="8"/>
        <v>45000</v>
      </c>
      <c r="AN7" s="193">
        <f t="shared" si="8"/>
        <v>45000</v>
      </c>
      <c r="AO7" s="193">
        <f t="shared" si="8"/>
        <v>45000</v>
      </c>
      <c r="AP7" s="193">
        <f t="shared" si="8"/>
        <v>45000</v>
      </c>
      <c r="AQ7" s="193">
        <f t="shared" si="8"/>
        <v>45000</v>
      </c>
      <c r="AR7" s="193">
        <f t="shared" si="8"/>
        <v>45000</v>
      </c>
      <c r="AS7" s="193">
        <f t="shared" si="8"/>
        <v>45000</v>
      </c>
      <c r="AT7" s="193">
        <f t="shared" si="8"/>
        <v>45000</v>
      </c>
      <c r="AU7" s="193">
        <f t="shared" si="8"/>
        <v>45000</v>
      </c>
      <c r="AV7" s="193">
        <f t="shared" si="8"/>
        <v>45000</v>
      </c>
      <c r="AW7" s="193">
        <f t="shared" si="8"/>
        <v>45000</v>
      </c>
      <c r="AX7" s="193">
        <f t="shared" si="8"/>
        <v>45000</v>
      </c>
      <c r="AY7" s="193">
        <f t="shared" si="8"/>
        <v>45000</v>
      </c>
      <c r="AZ7" s="193">
        <f t="shared" si="8"/>
        <v>45000</v>
      </c>
      <c r="BA7" s="193">
        <f t="shared" si="8"/>
        <v>45000</v>
      </c>
      <c r="BB7" s="193">
        <f t="shared" si="8"/>
        <v>45000</v>
      </c>
      <c r="BC7" s="193">
        <f t="shared" si="8"/>
        <v>45000</v>
      </c>
      <c r="BD7" s="193">
        <f t="shared" si="8"/>
        <v>45000</v>
      </c>
      <c r="BE7" s="193">
        <f t="shared" si="8"/>
        <v>45000</v>
      </c>
    </row>
    <row r="8" ht="25.5" customHeight="1">
      <c r="A8" s="194">
        <v>1.0</v>
      </c>
      <c r="B8" s="194">
        <v>2.0</v>
      </c>
      <c r="C8" s="194">
        <v>80.0</v>
      </c>
      <c r="D8" s="195" t="s">
        <v>496</v>
      </c>
      <c r="E8" s="197">
        <v>0.0</v>
      </c>
      <c r="F8" s="197">
        <v>0.0</v>
      </c>
      <c r="G8" s="168">
        <v>0.0</v>
      </c>
      <c r="H8" s="168">
        <v>0.0</v>
      </c>
      <c r="I8" s="191">
        <f t="shared" si="4"/>
        <v>0</v>
      </c>
      <c r="J8" s="192">
        <v>0.0</v>
      </c>
      <c r="K8" s="192">
        <v>0.0</v>
      </c>
      <c r="L8" s="192">
        <v>0.0</v>
      </c>
      <c r="M8" s="196">
        <v>0.0148</v>
      </c>
      <c r="N8" s="196">
        <v>-0.0732</v>
      </c>
      <c r="O8" s="196">
        <v>-0.1104</v>
      </c>
      <c r="P8" s="196">
        <v>-0.0148</v>
      </c>
      <c r="Q8" s="196">
        <v>-0.1427</v>
      </c>
      <c r="R8" s="196">
        <v>-0.2888</v>
      </c>
      <c r="S8" s="196">
        <v>-0.0314</v>
      </c>
      <c r="T8" s="192">
        <v>0.0</v>
      </c>
      <c r="U8" s="192">
        <v>0.0</v>
      </c>
      <c r="V8" s="193">
        <f t="shared" ref="V8:AG8" si="9">IFERROR(((IF(V$3/$C8 &lt; $A8, $A8, IF(V$3/$C8 &gt; $B8, $B8, V$3/$C8)))*$I8),0)*(1+J8)
</f>
        <v>0</v>
      </c>
      <c r="W8" s="193">
        <f t="shared" si="9"/>
        <v>0</v>
      </c>
      <c r="X8" s="193">
        <f t="shared" si="9"/>
        <v>0</v>
      </c>
      <c r="Y8" s="193">
        <f t="shared" si="9"/>
        <v>0</v>
      </c>
      <c r="Z8" s="193">
        <f t="shared" si="9"/>
        <v>0</v>
      </c>
      <c r="AA8" s="193">
        <f t="shared" si="9"/>
        <v>0</v>
      </c>
      <c r="AB8" s="193">
        <f t="shared" si="9"/>
        <v>0</v>
      </c>
      <c r="AC8" s="193">
        <f t="shared" si="9"/>
        <v>0</v>
      </c>
      <c r="AD8" s="193">
        <f t="shared" si="9"/>
        <v>0</v>
      </c>
      <c r="AE8" s="193">
        <f t="shared" si="9"/>
        <v>0</v>
      </c>
      <c r="AF8" s="193">
        <f t="shared" si="9"/>
        <v>0</v>
      </c>
      <c r="AG8" s="193">
        <f t="shared" si="9"/>
        <v>0</v>
      </c>
      <c r="AH8" s="193">
        <f t="shared" ref="AH8:BE8" si="10">IFERROR(((IF(AH$3/$C8 &lt; $A8, $A8, IF(AH$3/$C8 &gt; $B8, $B8, AH$3/$C8)))*$I8),0)
</f>
        <v>0</v>
      </c>
      <c r="AI8" s="193">
        <f t="shared" si="10"/>
        <v>0</v>
      </c>
      <c r="AJ8" s="193">
        <f t="shared" si="10"/>
        <v>0</v>
      </c>
      <c r="AK8" s="193">
        <f t="shared" si="10"/>
        <v>0</v>
      </c>
      <c r="AL8" s="193">
        <f t="shared" si="10"/>
        <v>0</v>
      </c>
      <c r="AM8" s="193">
        <f t="shared" si="10"/>
        <v>0</v>
      </c>
      <c r="AN8" s="193">
        <f t="shared" si="10"/>
        <v>0</v>
      </c>
      <c r="AO8" s="193">
        <f t="shared" si="10"/>
        <v>0</v>
      </c>
      <c r="AP8" s="193">
        <f t="shared" si="10"/>
        <v>0</v>
      </c>
      <c r="AQ8" s="193">
        <f t="shared" si="10"/>
        <v>0</v>
      </c>
      <c r="AR8" s="193">
        <f t="shared" si="10"/>
        <v>0</v>
      </c>
      <c r="AS8" s="193">
        <f t="shared" si="10"/>
        <v>0</v>
      </c>
      <c r="AT8" s="193">
        <f t="shared" si="10"/>
        <v>0</v>
      </c>
      <c r="AU8" s="193">
        <f t="shared" si="10"/>
        <v>0</v>
      </c>
      <c r="AV8" s="193">
        <f t="shared" si="10"/>
        <v>0</v>
      </c>
      <c r="AW8" s="193">
        <f t="shared" si="10"/>
        <v>0</v>
      </c>
      <c r="AX8" s="193">
        <f t="shared" si="10"/>
        <v>0</v>
      </c>
      <c r="AY8" s="193">
        <f t="shared" si="10"/>
        <v>0</v>
      </c>
      <c r="AZ8" s="193">
        <f t="shared" si="10"/>
        <v>0</v>
      </c>
      <c r="BA8" s="193">
        <f t="shared" si="10"/>
        <v>0</v>
      </c>
      <c r="BB8" s="193">
        <f t="shared" si="10"/>
        <v>0</v>
      </c>
      <c r="BC8" s="193">
        <f t="shared" si="10"/>
        <v>0</v>
      </c>
      <c r="BD8" s="193">
        <f t="shared" si="10"/>
        <v>0</v>
      </c>
      <c r="BE8" s="193">
        <f t="shared" si="10"/>
        <v>0</v>
      </c>
    </row>
    <row r="9" ht="25.5" customHeight="1">
      <c r="A9" s="194">
        <v>1.0</v>
      </c>
      <c r="B9" s="194">
        <v>4.0</v>
      </c>
      <c r="C9" s="194">
        <v>40.0</v>
      </c>
      <c r="D9" s="195" t="s">
        <v>587</v>
      </c>
      <c r="E9" s="197">
        <v>0.0</v>
      </c>
      <c r="F9" s="197">
        <v>0.0</v>
      </c>
      <c r="G9" s="168">
        <v>0.0</v>
      </c>
      <c r="H9" s="168">
        <v>0.0</v>
      </c>
      <c r="I9" s="191">
        <f t="shared" si="4"/>
        <v>0</v>
      </c>
      <c r="J9" s="192">
        <v>0.0</v>
      </c>
      <c r="K9" s="192">
        <v>0.0</v>
      </c>
      <c r="L9" s="192">
        <v>0.0</v>
      </c>
      <c r="M9" s="196">
        <v>0.0148</v>
      </c>
      <c r="N9" s="196">
        <v>-0.0732</v>
      </c>
      <c r="O9" s="196">
        <v>-0.1104</v>
      </c>
      <c r="P9" s="196">
        <v>-0.0148</v>
      </c>
      <c r="Q9" s="196">
        <v>-0.1427</v>
      </c>
      <c r="R9" s="196">
        <v>-0.2888</v>
      </c>
      <c r="S9" s="196">
        <v>-0.0314</v>
      </c>
      <c r="T9" s="192">
        <v>0.0</v>
      </c>
      <c r="U9" s="192">
        <v>0.0</v>
      </c>
      <c r="V9" s="193">
        <f t="shared" ref="V9:AG9" si="11">IFERROR(((IF(V$3/$C9 &lt; $A9, $A9, IF(V$3/$C9 &gt; $B9, $B9, V$3/$C9)))*$I9),0)*(1+J9)
</f>
        <v>0</v>
      </c>
      <c r="W9" s="193">
        <f t="shared" si="11"/>
        <v>0</v>
      </c>
      <c r="X9" s="193">
        <f t="shared" si="11"/>
        <v>0</v>
      </c>
      <c r="Y9" s="193">
        <f t="shared" si="11"/>
        <v>0</v>
      </c>
      <c r="Z9" s="193">
        <f t="shared" si="11"/>
        <v>0</v>
      </c>
      <c r="AA9" s="193">
        <f t="shared" si="11"/>
        <v>0</v>
      </c>
      <c r="AB9" s="193">
        <f t="shared" si="11"/>
        <v>0</v>
      </c>
      <c r="AC9" s="193">
        <f t="shared" si="11"/>
        <v>0</v>
      </c>
      <c r="AD9" s="193">
        <f t="shared" si="11"/>
        <v>0</v>
      </c>
      <c r="AE9" s="193">
        <f t="shared" si="11"/>
        <v>0</v>
      </c>
      <c r="AF9" s="193">
        <f t="shared" si="11"/>
        <v>0</v>
      </c>
      <c r="AG9" s="193">
        <f t="shared" si="11"/>
        <v>0</v>
      </c>
      <c r="AH9" s="193">
        <f t="shared" ref="AH9:BE9" si="12">IFERROR(((IF(AH$3/$C9 &lt; $A9, $A9, IF(AH$3/$C9 &gt; $B9, $B9, AH$3/$C9)))*$I9),0)
</f>
        <v>0</v>
      </c>
      <c r="AI9" s="193">
        <f t="shared" si="12"/>
        <v>0</v>
      </c>
      <c r="AJ9" s="193">
        <f t="shared" si="12"/>
        <v>0</v>
      </c>
      <c r="AK9" s="193">
        <f t="shared" si="12"/>
        <v>0</v>
      </c>
      <c r="AL9" s="193">
        <f t="shared" si="12"/>
        <v>0</v>
      </c>
      <c r="AM9" s="193">
        <f t="shared" si="12"/>
        <v>0</v>
      </c>
      <c r="AN9" s="193">
        <f t="shared" si="12"/>
        <v>0</v>
      </c>
      <c r="AO9" s="193">
        <f t="shared" si="12"/>
        <v>0</v>
      </c>
      <c r="AP9" s="193">
        <f t="shared" si="12"/>
        <v>0</v>
      </c>
      <c r="AQ9" s="193">
        <f t="shared" si="12"/>
        <v>0</v>
      </c>
      <c r="AR9" s="193">
        <f t="shared" si="12"/>
        <v>0</v>
      </c>
      <c r="AS9" s="193">
        <f t="shared" si="12"/>
        <v>0</v>
      </c>
      <c r="AT9" s="193">
        <f t="shared" si="12"/>
        <v>0</v>
      </c>
      <c r="AU9" s="193">
        <f t="shared" si="12"/>
        <v>0</v>
      </c>
      <c r="AV9" s="193">
        <f t="shared" si="12"/>
        <v>0</v>
      </c>
      <c r="AW9" s="193">
        <f t="shared" si="12"/>
        <v>0</v>
      </c>
      <c r="AX9" s="193">
        <f t="shared" si="12"/>
        <v>0</v>
      </c>
      <c r="AY9" s="193">
        <f t="shared" si="12"/>
        <v>0</v>
      </c>
      <c r="AZ9" s="193">
        <f t="shared" si="12"/>
        <v>0</v>
      </c>
      <c r="BA9" s="193">
        <f t="shared" si="12"/>
        <v>0</v>
      </c>
      <c r="BB9" s="193">
        <f t="shared" si="12"/>
        <v>0</v>
      </c>
      <c r="BC9" s="193">
        <f t="shared" si="12"/>
        <v>0</v>
      </c>
      <c r="BD9" s="193">
        <f t="shared" si="12"/>
        <v>0</v>
      </c>
      <c r="BE9" s="193">
        <f t="shared" si="12"/>
        <v>0</v>
      </c>
    </row>
    <row r="10" ht="25.5" customHeight="1">
      <c r="A10" s="194">
        <v>1.0</v>
      </c>
      <c r="B10" s="198">
        <v>75.0</v>
      </c>
      <c r="C10" s="198">
        <v>1.0</v>
      </c>
      <c r="D10" s="195" t="s">
        <v>588</v>
      </c>
      <c r="E10" s="197">
        <v>200.0</v>
      </c>
      <c r="F10" s="197">
        <v>0.0</v>
      </c>
      <c r="G10" s="168">
        <v>0.0</v>
      </c>
      <c r="H10" s="168">
        <v>0.0</v>
      </c>
      <c r="I10" s="191">
        <f t="shared" si="4"/>
        <v>200</v>
      </c>
      <c r="J10" s="192">
        <v>0.15</v>
      </c>
      <c r="K10" s="192">
        <v>0.15</v>
      </c>
      <c r="L10" s="192">
        <v>0.15</v>
      </c>
      <c r="M10" s="196">
        <v>0.0148</v>
      </c>
      <c r="N10" s="196">
        <v>-0.0732</v>
      </c>
      <c r="O10" s="196">
        <v>-0.1104</v>
      </c>
      <c r="P10" s="196">
        <v>-0.0148</v>
      </c>
      <c r="Q10" s="196">
        <v>-0.1427</v>
      </c>
      <c r="R10" s="196">
        <v>-0.2888</v>
      </c>
      <c r="S10" s="196">
        <v>-0.0314</v>
      </c>
      <c r="T10" s="192">
        <v>0.15</v>
      </c>
      <c r="U10" s="192">
        <v>0.15</v>
      </c>
      <c r="V10" s="193">
        <f t="shared" ref="V10:AG10" si="13">IFERROR(((IF(V$3/$C10 &lt; $A10, $A10, IF(V$3/$C10 &gt; $B10, $B10, V$3/$C10)))*$I10),0)*(1+J10)
</f>
        <v>9177</v>
      </c>
      <c r="W10" s="193">
        <f t="shared" si="13"/>
        <v>9128.899791</v>
      </c>
      <c r="X10" s="193">
        <f t="shared" si="13"/>
        <v>9085.671174</v>
      </c>
      <c r="Y10" s="193">
        <f t="shared" si="13"/>
        <v>7975.489382</v>
      </c>
      <c r="Z10" s="193">
        <f t="shared" si="13"/>
        <v>7246.932867</v>
      </c>
      <c r="AA10" s="193">
        <f t="shared" si="13"/>
        <v>6919.595307</v>
      </c>
      <c r="AB10" s="193">
        <f t="shared" si="13"/>
        <v>7624.329463</v>
      </c>
      <c r="AC10" s="193">
        <f t="shared" si="13"/>
        <v>6599.754541</v>
      </c>
      <c r="AD10" s="193">
        <f t="shared" si="13"/>
        <v>5446.335813</v>
      </c>
      <c r="AE10" s="193">
        <f t="shared" si="13"/>
        <v>7379.865776</v>
      </c>
      <c r="AF10" s="193">
        <f t="shared" si="13"/>
        <v>8716.046665</v>
      </c>
      <c r="AG10" s="193">
        <f t="shared" si="13"/>
        <v>8671.83243</v>
      </c>
      <c r="AH10" s="193">
        <f t="shared" ref="AH10:BE10" si="14">IFERROR(((IF(AH$3/$C10 &lt; $A10, $A10, IF(AH$3/$C10 &gt; $B10, $B10, AH$3/$C10)))*$I10),0)
</f>
        <v>200</v>
      </c>
      <c r="AI10" s="193">
        <f t="shared" si="14"/>
        <v>200</v>
      </c>
      <c r="AJ10" s="193">
        <f t="shared" si="14"/>
        <v>200</v>
      </c>
      <c r="AK10" s="193">
        <f t="shared" si="14"/>
        <v>200</v>
      </c>
      <c r="AL10" s="193">
        <f t="shared" si="14"/>
        <v>200</v>
      </c>
      <c r="AM10" s="193">
        <f t="shared" si="14"/>
        <v>200</v>
      </c>
      <c r="AN10" s="193">
        <f t="shared" si="14"/>
        <v>200</v>
      </c>
      <c r="AO10" s="193">
        <f t="shared" si="14"/>
        <v>200</v>
      </c>
      <c r="AP10" s="193">
        <f t="shared" si="14"/>
        <v>200</v>
      </c>
      <c r="AQ10" s="193">
        <f t="shared" si="14"/>
        <v>200</v>
      </c>
      <c r="AR10" s="193">
        <f t="shared" si="14"/>
        <v>200</v>
      </c>
      <c r="AS10" s="193">
        <f t="shared" si="14"/>
        <v>200</v>
      </c>
      <c r="AT10" s="193">
        <f t="shared" si="14"/>
        <v>200</v>
      </c>
      <c r="AU10" s="193">
        <f t="shared" si="14"/>
        <v>200</v>
      </c>
      <c r="AV10" s="193">
        <f t="shared" si="14"/>
        <v>200</v>
      </c>
      <c r="AW10" s="193">
        <f t="shared" si="14"/>
        <v>200</v>
      </c>
      <c r="AX10" s="193">
        <f t="shared" si="14"/>
        <v>200</v>
      </c>
      <c r="AY10" s="193">
        <f t="shared" si="14"/>
        <v>200</v>
      </c>
      <c r="AZ10" s="193">
        <f t="shared" si="14"/>
        <v>200</v>
      </c>
      <c r="BA10" s="193">
        <f t="shared" si="14"/>
        <v>200</v>
      </c>
      <c r="BB10" s="193">
        <f t="shared" si="14"/>
        <v>200</v>
      </c>
      <c r="BC10" s="193">
        <f t="shared" si="14"/>
        <v>200</v>
      </c>
      <c r="BD10" s="193">
        <f t="shared" si="14"/>
        <v>200</v>
      </c>
      <c r="BE10" s="193">
        <f t="shared" si="14"/>
        <v>200</v>
      </c>
    </row>
    <row r="11" ht="25.5" customHeight="1">
      <c r="A11" s="198">
        <v>2.0</v>
      </c>
      <c r="B11" s="194">
        <v>1000.0</v>
      </c>
      <c r="C11" s="198">
        <v>100.0</v>
      </c>
      <c r="D11" s="195" t="s">
        <v>592</v>
      </c>
      <c r="E11" s="168">
        <v>12000.0</v>
      </c>
      <c r="F11" s="168">
        <v>3000.0</v>
      </c>
      <c r="G11" s="168">
        <v>0.0</v>
      </c>
      <c r="H11" s="168">
        <v>0.0</v>
      </c>
      <c r="I11" s="191">
        <f t="shared" si="4"/>
        <v>15000</v>
      </c>
      <c r="J11" s="192">
        <v>0.15</v>
      </c>
      <c r="K11" s="192">
        <v>0.15</v>
      </c>
      <c r="L11" s="192">
        <v>0.15</v>
      </c>
      <c r="M11" s="196">
        <v>0.0148</v>
      </c>
      <c r="N11" s="196">
        <v>-0.0732</v>
      </c>
      <c r="O11" s="196">
        <v>-0.1104</v>
      </c>
      <c r="P11" s="196">
        <v>-0.0148</v>
      </c>
      <c r="Q11" s="196">
        <v>-0.1427</v>
      </c>
      <c r="R11" s="196">
        <v>-0.2888</v>
      </c>
      <c r="S11" s="196">
        <v>-0.0314</v>
      </c>
      <c r="T11" s="192">
        <v>0.15</v>
      </c>
      <c r="U11" s="192">
        <v>0.15</v>
      </c>
      <c r="V11" s="193">
        <f t="shared" ref="V11:AG11" si="15">IFERROR(((IF(V$3/$C11 &lt; $A11, $A11, IF(V$3/$C11 &gt; $B11, $B11, V$3/$C11)))*$I11),0)*(1+J11)
</f>
        <v>34500</v>
      </c>
      <c r="W11" s="193">
        <f t="shared" si="15"/>
        <v>34500</v>
      </c>
      <c r="X11" s="193">
        <f t="shared" si="15"/>
        <v>34500</v>
      </c>
      <c r="Y11" s="193">
        <f t="shared" si="15"/>
        <v>30444</v>
      </c>
      <c r="Z11" s="193">
        <f t="shared" si="15"/>
        <v>27804</v>
      </c>
      <c r="AA11" s="193">
        <f t="shared" si="15"/>
        <v>26688</v>
      </c>
      <c r="AB11" s="193">
        <f t="shared" si="15"/>
        <v>29556</v>
      </c>
      <c r="AC11" s="193">
        <f t="shared" si="15"/>
        <v>25719</v>
      </c>
      <c r="AD11" s="193">
        <f t="shared" si="15"/>
        <v>21336</v>
      </c>
      <c r="AE11" s="193">
        <f t="shared" si="15"/>
        <v>29058</v>
      </c>
      <c r="AF11" s="193">
        <f t="shared" si="15"/>
        <v>34500</v>
      </c>
      <c r="AG11" s="193">
        <f t="shared" si="15"/>
        <v>34500</v>
      </c>
      <c r="AH11" s="193">
        <f t="shared" ref="AH11:BE11" si="16">IFERROR(((IF(AH$3/$C11 &lt; $A11, $A11, IF(AH$3/$C11 &gt; $B11, $B11, AH$3/$C11)))*$I11),0)
</f>
        <v>30000</v>
      </c>
      <c r="AI11" s="193">
        <f t="shared" si="16"/>
        <v>30000</v>
      </c>
      <c r="AJ11" s="193">
        <f t="shared" si="16"/>
        <v>30000</v>
      </c>
      <c r="AK11" s="193">
        <f t="shared" si="16"/>
        <v>30000</v>
      </c>
      <c r="AL11" s="193">
        <f t="shared" si="16"/>
        <v>30000</v>
      </c>
      <c r="AM11" s="193">
        <f t="shared" si="16"/>
        <v>30000</v>
      </c>
      <c r="AN11" s="193">
        <f t="shared" si="16"/>
        <v>30000</v>
      </c>
      <c r="AO11" s="193">
        <f t="shared" si="16"/>
        <v>30000</v>
      </c>
      <c r="AP11" s="193">
        <f t="shared" si="16"/>
        <v>30000</v>
      </c>
      <c r="AQ11" s="193">
        <f t="shared" si="16"/>
        <v>30000</v>
      </c>
      <c r="AR11" s="193">
        <f t="shared" si="16"/>
        <v>30000</v>
      </c>
      <c r="AS11" s="193">
        <f t="shared" si="16"/>
        <v>30000</v>
      </c>
      <c r="AT11" s="193">
        <f t="shared" si="16"/>
        <v>30000</v>
      </c>
      <c r="AU11" s="193">
        <f t="shared" si="16"/>
        <v>30000</v>
      </c>
      <c r="AV11" s="193">
        <f t="shared" si="16"/>
        <v>30000</v>
      </c>
      <c r="AW11" s="193">
        <f t="shared" si="16"/>
        <v>30000</v>
      </c>
      <c r="AX11" s="193">
        <f t="shared" si="16"/>
        <v>30000</v>
      </c>
      <c r="AY11" s="193">
        <f t="shared" si="16"/>
        <v>30000</v>
      </c>
      <c r="AZ11" s="193">
        <f t="shared" si="16"/>
        <v>30000</v>
      </c>
      <c r="BA11" s="193">
        <f t="shared" si="16"/>
        <v>30000</v>
      </c>
      <c r="BB11" s="193">
        <f t="shared" si="16"/>
        <v>30000</v>
      </c>
      <c r="BC11" s="193">
        <f t="shared" si="16"/>
        <v>30000</v>
      </c>
      <c r="BD11" s="193">
        <f t="shared" si="16"/>
        <v>30000</v>
      </c>
      <c r="BE11" s="193">
        <f t="shared" si="16"/>
        <v>30000</v>
      </c>
    </row>
    <row r="12" ht="25.5" customHeight="1">
      <c r="A12" s="194">
        <v>1.0</v>
      </c>
      <c r="B12" s="198">
        <v>1.0</v>
      </c>
      <c r="C12" s="198">
        <v>100.0</v>
      </c>
      <c r="D12" s="195" t="s">
        <v>555</v>
      </c>
      <c r="E12" s="197">
        <v>6000.0</v>
      </c>
      <c r="F12" s="168">
        <v>3000.0</v>
      </c>
      <c r="G12" s="168">
        <v>0.0</v>
      </c>
      <c r="H12" s="168">
        <v>0.0</v>
      </c>
      <c r="I12" s="191">
        <f t="shared" si="4"/>
        <v>9000</v>
      </c>
      <c r="J12" s="192">
        <v>0.15</v>
      </c>
      <c r="K12" s="192">
        <v>0.15</v>
      </c>
      <c r="L12" s="192">
        <v>0.15</v>
      </c>
      <c r="M12" s="196">
        <v>0.0148</v>
      </c>
      <c r="N12" s="196">
        <v>-0.0732</v>
      </c>
      <c r="O12" s="196">
        <v>-0.1104</v>
      </c>
      <c r="P12" s="196">
        <v>-0.0148</v>
      </c>
      <c r="Q12" s="196">
        <v>-0.1427</v>
      </c>
      <c r="R12" s="196">
        <v>-0.2888</v>
      </c>
      <c r="S12" s="196">
        <v>-0.0314</v>
      </c>
      <c r="T12" s="192">
        <v>0.15</v>
      </c>
      <c r="U12" s="192">
        <v>0.15</v>
      </c>
      <c r="V12" s="193">
        <f t="shared" ref="V12:AG12" si="17">IFERROR(((IF(V$3/$C12 &lt; $A12, $A12, IF(V$3/$C12 &gt; $B12, $B12, V$3/$C12)))*$I12),0)*(1+J12)
</f>
        <v>10350</v>
      </c>
      <c r="W12" s="193">
        <f t="shared" si="17"/>
        <v>10350</v>
      </c>
      <c r="X12" s="193">
        <f t="shared" si="17"/>
        <v>10350</v>
      </c>
      <c r="Y12" s="193">
        <f t="shared" si="17"/>
        <v>9133.2</v>
      </c>
      <c r="Z12" s="193">
        <f t="shared" si="17"/>
        <v>8341.2</v>
      </c>
      <c r="AA12" s="193">
        <f t="shared" si="17"/>
        <v>8006.4</v>
      </c>
      <c r="AB12" s="193">
        <f t="shared" si="17"/>
        <v>8866.8</v>
      </c>
      <c r="AC12" s="193">
        <f t="shared" si="17"/>
        <v>7715.7</v>
      </c>
      <c r="AD12" s="193">
        <f t="shared" si="17"/>
        <v>6400.8</v>
      </c>
      <c r="AE12" s="193">
        <f t="shared" si="17"/>
        <v>8717.4</v>
      </c>
      <c r="AF12" s="193">
        <f t="shared" si="17"/>
        <v>10350</v>
      </c>
      <c r="AG12" s="193">
        <f t="shared" si="17"/>
        <v>10350</v>
      </c>
      <c r="AH12" s="193">
        <f t="shared" ref="AH12:BE12" si="18">IFERROR(((IF(AH$3/$C12 &lt; $A12, $A12, IF(AH$3/$C12 &gt; $B12, $B12, AH$3/$C12)))*$I12),0)
</f>
        <v>9000</v>
      </c>
      <c r="AI12" s="193">
        <f t="shared" si="18"/>
        <v>9000</v>
      </c>
      <c r="AJ12" s="193">
        <f t="shared" si="18"/>
        <v>9000</v>
      </c>
      <c r="AK12" s="193">
        <f t="shared" si="18"/>
        <v>9000</v>
      </c>
      <c r="AL12" s="193">
        <f t="shared" si="18"/>
        <v>9000</v>
      </c>
      <c r="AM12" s="193">
        <f t="shared" si="18"/>
        <v>9000</v>
      </c>
      <c r="AN12" s="193">
        <f t="shared" si="18"/>
        <v>9000</v>
      </c>
      <c r="AO12" s="193">
        <f t="shared" si="18"/>
        <v>9000</v>
      </c>
      <c r="AP12" s="193">
        <f t="shared" si="18"/>
        <v>9000</v>
      </c>
      <c r="AQ12" s="193">
        <f t="shared" si="18"/>
        <v>9000</v>
      </c>
      <c r="AR12" s="193">
        <f t="shared" si="18"/>
        <v>9000</v>
      </c>
      <c r="AS12" s="193">
        <f t="shared" si="18"/>
        <v>9000</v>
      </c>
      <c r="AT12" s="193">
        <f t="shared" si="18"/>
        <v>9000</v>
      </c>
      <c r="AU12" s="193">
        <f t="shared" si="18"/>
        <v>9000</v>
      </c>
      <c r="AV12" s="193">
        <f t="shared" si="18"/>
        <v>9000</v>
      </c>
      <c r="AW12" s="193">
        <f t="shared" si="18"/>
        <v>9000</v>
      </c>
      <c r="AX12" s="193">
        <f t="shared" si="18"/>
        <v>9000</v>
      </c>
      <c r="AY12" s="193">
        <f t="shared" si="18"/>
        <v>9000</v>
      </c>
      <c r="AZ12" s="193">
        <f t="shared" si="18"/>
        <v>9000</v>
      </c>
      <c r="BA12" s="193">
        <f t="shared" si="18"/>
        <v>9000</v>
      </c>
      <c r="BB12" s="193">
        <f t="shared" si="18"/>
        <v>9000</v>
      </c>
      <c r="BC12" s="193">
        <f t="shared" si="18"/>
        <v>9000</v>
      </c>
      <c r="BD12" s="193">
        <f t="shared" si="18"/>
        <v>9000</v>
      </c>
      <c r="BE12" s="193">
        <f t="shared" si="18"/>
        <v>9000</v>
      </c>
    </row>
    <row r="13" ht="25.5" customHeight="1">
      <c r="A13" s="194">
        <v>0.0</v>
      </c>
      <c r="B13" s="194">
        <v>0.0</v>
      </c>
      <c r="C13" s="194">
        <v>0.0</v>
      </c>
      <c r="D13" s="195"/>
      <c r="E13" s="168">
        <v>11757.0</v>
      </c>
      <c r="F13" s="168">
        <v>0.0</v>
      </c>
      <c r="G13" s="168">
        <v>0.0</v>
      </c>
      <c r="H13" s="168">
        <v>0.0</v>
      </c>
      <c r="I13" s="191">
        <f t="shared" si="4"/>
        <v>11757</v>
      </c>
      <c r="J13" s="192">
        <v>0.0</v>
      </c>
      <c r="K13" s="192">
        <v>0.0</v>
      </c>
      <c r="L13" s="192">
        <v>0.0</v>
      </c>
      <c r="M13" s="196">
        <v>0.0148</v>
      </c>
      <c r="N13" s="196">
        <v>-0.0732</v>
      </c>
      <c r="O13" s="196">
        <v>-0.1104</v>
      </c>
      <c r="P13" s="196">
        <v>-0.0148</v>
      </c>
      <c r="Q13" s="196">
        <v>-0.1427</v>
      </c>
      <c r="R13" s="196">
        <v>-0.2888</v>
      </c>
      <c r="S13" s="196">
        <v>-0.0314</v>
      </c>
      <c r="T13" s="196">
        <v>0.2439</v>
      </c>
      <c r="U13" s="196">
        <v>0.2484</v>
      </c>
      <c r="V13" s="193">
        <f t="shared" ref="V13:AG13" si="19">IFERROR(((IF(V$3/$C13 &lt; $A13, $A13, IF(V$3/$C13 &gt; $B13, $B13, V$3/$C13)))*$I13),0)*(1+J13)
</f>
        <v>0</v>
      </c>
      <c r="W13" s="193">
        <f t="shared" si="19"/>
        <v>0</v>
      </c>
      <c r="X13" s="193">
        <f t="shared" si="19"/>
        <v>0</v>
      </c>
      <c r="Y13" s="193">
        <f t="shared" si="19"/>
        <v>0</v>
      </c>
      <c r="Z13" s="193">
        <f t="shared" si="19"/>
        <v>0</v>
      </c>
      <c r="AA13" s="193">
        <f t="shared" si="19"/>
        <v>0</v>
      </c>
      <c r="AB13" s="193">
        <f t="shared" si="19"/>
        <v>0</v>
      </c>
      <c r="AC13" s="193">
        <f t="shared" si="19"/>
        <v>0</v>
      </c>
      <c r="AD13" s="193">
        <f t="shared" si="19"/>
        <v>0</v>
      </c>
      <c r="AE13" s="193">
        <f t="shared" si="19"/>
        <v>0</v>
      </c>
      <c r="AF13" s="193">
        <f t="shared" si="19"/>
        <v>0</v>
      </c>
      <c r="AG13" s="193">
        <f t="shared" si="19"/>
        <v>0</v>
      </c>
      <c r="AH13" s="193">
        <f t="shared" ref="AH13:BE13" si="20">IFERROR(((IF(AH$3/$C13 &lt; $A13, $A13, IF(AH$3/$C13 &gt; $B13, $B13, AH$3/$C13)))*$I13),0)
</f>
        <v>0</v>
      </c>
      <c r="AI13" s="193">
        <f t="shared" si="20"/>
        <v>0</v>
      </c>
      <c r="AJ13" s="193">
        <f t="shared" si="20"/>
        <v>0</v>
      </c>
      <c r="AK13" s="193">
        <f t="shared" si="20"/>
        <v>0</v>
      </c>
      <c r="AL13" s="193">
        <f t="shared" si="20"/>
        <v>0</v>
      </c>
      <c r="AM13" s="193">
        <f t="shared" si="20"/>
        <v>0</v>
      </c>
      <c r="AN13" s="193">
        <f t="shared" si="20"/>
        <v>0</v>
      </c>
      <c r="AO13" s="193">
        <f t="shared" si="20"/>
        <v>0</v>
      </c>
      <c r="AP13" s="193">
        <f t="shared" si="20"/>
        <v>0</v>
      </c>
      <c r="AQ13" s="193">
        <f t="shared" si="20"/>
        <v>0</v>
      </c>
      <c r="AR13" s="193">
        <f t="shared" si="20"/>
        <v>0</v>
      </c>
      <c r="AS13" s="193">
        <f t="shared" si="20"/>
        <v>0</v>
      </c>
      <c r="AT13" s="193">
        <f t="shared" si="20"/>
        <v>0</v>
      </c>
      <c r="AU13" s="193">
        <f t="shared" si="20"/>
        <v>0</v>
      </c>
      <c r="AV13" s="193">
        <f t="shared" si="20"/>
        <v>0</v>
      </c>
      <c r="AW13" s="193">
        <f t="shared" si="20"/>
        <v>0</v>
      </c>
      <c r="AX13" s="193">
        <f t="shared" si="20"/>
        <v>0</v>
      </c>
      <c r="AY13" s="193">
        <f t="shared" si="20"/>
        <v>0</v>
      </c>
      <c r="AZ13" s="193">
        <f t="shared" si="20"/>
        <v>0</v>
      </c>
      <c r="BA13" s="193">
        <f t="shared" si="20"/>
        <v>0</v>
      </c>
      <c r="BB13" s="193">
        <f t="shared" si="20"/>
        <v>0</v>
      </c>
      <c r="BC13" s="193">
        <f t="shared" si="20"/>
        <v>0</v>
      </c>
      <c r="BD13" s="193">
        <f t="shared" si="20"/>
        <v>0</v>
      </c>
      <c r="BE13" s="193">
        <f t="shared" si="20"/>
        <v>0</v>
      </c>
    </row>
    <row r="14" ht="25.5" customHeight="1">
      <c r="A14" s="194">
        <v>1.0</v>
      </c>
      <c r="B14" s="194">
        <v>4.0</v>
      </c>
      <c r="C14" s="194">
        <v>50.0</v>
      </c>
      <c r="D14" s="195" t="s">
        <v>583</v>
      </c>
      <c r="E14" s="197">
        <v>12500.0</v>
      </c>
      <c r="F14" s="168">
        <v>0.0</v>
      </c>
      <c r="G14" s="168">
        <v>3000.0</v>
      </c>
      <c r="H14" s="168">
        <v>0.0</v>
      </c>
      <c r="I14" s="191">
        <f t="shared" si="4"/>
        <v>15500</v>
      </c>
      <c r="J14" s="192">
        <v>0.0</v>
      </c>
      <c r="K14" s="192">
        <v>0.0</v>
      </c>
      <c r="L14" s="192">
        <v>0.0</v>
      </c>
      <c r="M14" s="196">
        <v>0.0148</v>
      </c>
      <c r="N14" s="196">
        <v>-0.0732</v>
      </c>
      <c r="O14" s="196">
        <v>-0.1104</v>
      </c>
      <c r="P14" s="196">
        <v>-0.0148</v>
      </c>
      <c r="Q14" s="196">
        <v>-0.1427</v>
      </c>
      <c r="R14" s="196">
        <v>-0.2888</v>
      </c>
      <c r="S14" s="196">
        <v>-0.0314</v>
      </c>
      <c r="T14" s="192">
        <v>0.0</v>
      </c>
      <c r="U14" s="192">
        <v>0.0</v>
      </c>
      <c r="V14" s="193">
        <f t="shared" ref="V14:AG14" si="21">IFERROR(((IF(V$3/$C14 &lt; $A14, $A14, IF(V$3/$C14 &gt; $B14, $B14, V$3/$C14)))*$I14),0)*(1+J14)
</f>
        <v>15500</v>
      </c>
      <c r="W14" s="193">
        <f t="shared" si="21"/>
        <v>15500</v>
      </c>
      <c r="X14" s="193">
        <f t="shared" si="21"/>
        <v>15500</v>
      </c>
      <c r="Y14" s="193">
        <f t="shared" si="21"/>
        <v>15729.4</v>
      </c>
      <c r="Z14" s="193">
        <f t="shared" si="21"/>
        <v>14365.4</v>
      </c>
      <c r="AA14" s="193">
        <f t="shared" si="21"/>
        <v>13788.8</v>
      </c>
      <c r="AB14" s="193">
        <f t="shared" si="21"/>
        <v>15270.6</v>
      </c>
      <c r="AC14" s="193">
        <f t="shared" si="21"/>
        <v>13288.15</v>
      </c>
      <c r="AD14" s="193">
        <f t="shared" si="21"/>
        <v>11023.6</v>
      </c>
      <c r="AE14" s="193">
        <f t="shared" si="21"/>
        <v>15013.3</v>
      </c>
      <c r="AF14" s="193">
        <f t="shared" si="21"/>
        <v>15500</v>
      </c>
      <c r="AG14" s="193">
        <f t="shared" si="21"/>
        <v>15500</v>
      </c>
      <c r="AH14" s="193">
        <f t="shared" ref="AH14:BE14" si="22">IFERROR(((IF(AH$3/$C14 &lt; $A14, $A14, IF(AH$3/$C14 &gt; $B14, $B14, AH$3/$C14)))*$I14),0)
</f>
        <v>15500</v>
      </c>
      <c r="AI14" s="193">
        <f t="shared" si="22"/>
        <v>15500</v>
      </c>
      <c r="AJ14" s="193">
        <f t="shared" si="22"/>
        <v>15500</v>
      </c>
      <c r="AK14" s="193">
        <f t="shared" si="22"/>
        <v>15500</v>
      </c>
      <c r="AL14" s="193">
        <f t="shared" si="22"/>
        <v>15500</v>
      </c>
      <c r="AM14" s="193">
        <f t="shared" si="22"/>
        <v>15500</v>
      </c>
      <c r="AN14" s="193">
        <f t="shared" si="22"/>
        <v>15500</v>
      </c>
      <c r="AO14" s="193">
        <f t="shared" si="22"/>
        <v>15500</v>
      </c>
      <c r="AP14" s="193">
        <f t="shared" si="22"/>
        <v>15500</v>
      </c>
      <c r="AQ14" s="193">
        <f t="shared" si="22"/>
        <v>15500</v>
      </c>
      <c r="AR14" s="193">
        <f t="shared" si="22"/>
        <v>15500</v>
      </c>
      <c r="AS14" s="193">
        <f t="shared" si="22"/>
        <v>15500</v>
      </c>
      <c r="AT14" s="193">
        <f t="shared" si="22"/>
        <v>15500</v>
      </c>
      <c r="AU14" s="193">
        <f t="shared" si="22"/>
        <v>15500</v>
      </c>
      <c r="AV14" s="193">
        <f t="shared" si="22"/>
        <v>15500</v>
      </c>
      <c r="AW14" s="193">
        <f t="shared" si="22"/>
        <v>15500</v>
      </c>
      <c r="AX14" s="193">
        <f t="shared" si="22"/>
        <v>15500</v>
      </c>
      <c r="AY14" s="193">
        <f t="shared" si="22"/>
        <v>15500</v>
      </c>
      <c r="AZ14" s="193">
        <f t="shared" si="22"/>
        <v>15500</v>
      </c>
      <c r="BA14" s="193">
        <f t="shared" si="22"/>
        <v>15500</v>
      </c>
      <c r="BB14" s="193">
        <f t="shared" si="22"/>
        <v>15500</v>
      </c>
      <c r="BC14" s="193">
        <f t="shared" si="22"/>
        <v>15500</v>
      </c>
      <c r="BD14" s="193">
        <f t="shared" si="22"/>
        <v>15500</v>
      </c>
      <c r="BE14" s="193">
        <f t="shared" si="22"/>
        <v>15500</v>
      </c>
    </row>
  </sheetData>
  <mergeCells count="15">
    <mergeCell ref="AN1:AP1"/>
    <mergeCell ref="AQ1:AS1"/>
    <mergeCell ref="AT1:AV1"/>
    <mergeCell ref="AW1:AY1"/>
    <mergeCell ref="AZ1:BB1"/>
    <mergeCell ref="BC1:BE1"/>
    <mergeCell ref="V1:X1"/>
    <mergeCell ref="V4:X4"/>
    <mergeCell ref="A1:I2"/>
    <mergeCell ref="Y1:AA1"/>
    <mergeCell ref="AB1:AD1"/>
    <mergeCell ref="AE1:AG1"/>
    <mergeCell ref="AH1:AJ1"/>
    <mergeCell ref="AK1:AM1"/>
    <mergeCell ref="A3:I3"/>
  </mergeCells>
  <drawing r:id="rId1"/>
</worksheet>
</file>